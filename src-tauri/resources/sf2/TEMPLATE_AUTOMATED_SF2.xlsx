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Qwenzy\Desktop\ees_ams\src-tauri\resources\sf2\"/>
    </mc:Choice>
  </mc:AlternateContent>
  <xr:revisionPtr revIDLastSave="0" documentId="8_{8EAE0EB2-45FA-4A2E-8617-7472EAE52FC4}" xr6:coauthVersionLast="47" xr6:coauthVersionMax="47" xr10:uidLastSave="{00000000-0000-0000-0000-000000000000}"/>
  <bookViews>
    <workbookView xWindow="-120" yWindow="-120" windowWidth="29040" windowHeight="18240" tabRatio="701" firstSheet="5" activeTab="5" xr2:uid="{60C5C742-B5C1-45A4-86AB-FCA6F2FE116B}"/>
  </bookViews>
  <sheets>
    <sheet name="JUNE 2025" sheetId="16" r:id="rId1"/>
    <sheet name="JULY 2025" sheetId="17" r:id="rId2"/>
    <sheet name="AUGUST 2025" sheetId="28" r:id="rId3"/>
    <sheet name="SEPT. 2025" sheetId="21" r:id="rId4"/>
    <sheet name="OCTOBER 2025" sheetId="22" r:id="rId5"/>
    <sheet name="COMPLETE DAYS" sheetId="19"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8" i="19" l="1"/>
  <c r="AO8" i="19"/>
  <c r="AM9" i="19"/>
  <c r="AO9" i="19"/>
  <c r="AM10" i="19"/>
  <c r="AO10" i="19"/>
  <c r="AM11" i="19"/>
  <c r="AO11" i="19"/>
  <c r="AM12" i="19"/>
  <c r="AO12" i="19"/>
  <c r="AM13" i="19"/>
  <c r="AO13" i="19"/>
  <c r="AM14" i="19"/>
  <c r="AO14" i="19"/>
  <c r="AM15" i="19"/>
  <c r="AO15" i="19"/>
  <c r="AM16" i="19"/>
  <c r="AO16" i="19"/>
  <c r="AM17" i="19"/>
  <c r="AO17" i="19"/>
  <c r="AM18" i="19"/>
  <c r="AO18" i="19"/>
  <c r="AM19" i="19"/>
  <c r="AO19" i="19"/>
  <c r="AM20" i="19"/>
  <c r="AO20" i="19"/>
  <c r="AM21" i="19"/>
  <c r="AO21" i="19"/>
  <c r="AM22" i="19"/>
  <c r="AO22" i="19"/>
  <c r="AM23" i="19"/>
  <c r="AO23" i="19"/>
  <c r="AM24" i="19"/>
  <c r="AO24" i="19"/>
  <c r="AM25" i="19"/>
  <c r="AO25" i="19"/>
  <c r="AM26" i="19"/>
  <c r="AO26" i="19"/>
  <c r="AM27" i="19"/>
  <c r="AO27" i="19"/>
  <c r="AM28" i="19"/>
  <c r="AO28" i="19"/>
  <c r="F29" i="19"/>
  <c r="H29" i="19"/>
  <c r="I29" i="19"/>
  <c r="J29" i="19"/>
  <c r="K29" i="19"/>
  <c r="L29" i="19"/>
  <c r="N29" i="19"/>
  <c r="O29" i="19"/>
  <c r="P29" i="19"/>
  <c r="Q29" i="19"/>
  <c r="R29" i="19"/>
  <c r="T29" i="19"/>
  <c r="U29" i="19"/>
  <c r="V29" i="19"/>
  <c r="X29" i="19"/>
  <c r="Z29" i="19"/>
  <c r="AB29" i="19"/>
  <c r="AC29" i="19"/>
  <c r="AD29" i="19"/>
  <c r="AE29" i="19"/>
  <c r="AF29" i="19"/>
  <c r="AG29" i="19"/>
  <c r="AI29" i="19"/>
  <c r="AJ29" i="19"/>
  <c r="AM29" i="19"/>
  <c r="AO29" i="19"/>
  <c r="AW29" i="19"/>
  <c r="AY29" i="19"/>
  <c r="AM30" i="19"/>
  <c r="AO30" i="19"/>
  <c r="AM31" i="19"/>
  <c r="AO31" i="19"/>
  <c r="AM32" i="19"/>
  <c r="AO32" i="19"/>
  <c r="AM33" i="19"/>
  <c r="AO33" i="19"/>
  <c r="AM34" i="19"/>
  <c r="AO34" i="19"/>
  <c r="AM35" i="19"/>
  <c r="AO35" i="19"/>
  <c r="AM36" i="19"/>
  <c r="AO36" i="19"/>
  <c r="AM37" i="19"/>
  <c r="AO37" i="19"/>
  <c r="AM38" i="19"/>
  <c r="AO38" i="19"/>
  <c r="AM39" i="19"/>
  <c r="AO39" i="19"/>
  <c r="AM40" i="19"/>
  <c r="AO40" i="19"/>
  <c r="AM41" i="19"/>
  <c r="AO41" i="19"/>
  <c r="AM42" i="19"/>
  <c r="AO42" i="19"/>
  <c r="AM43" i="19"/>
  <c r="AO43" i="19"/>
  <c r="AM44" i="19"/>
  <c r="AO44" i="19"/>
  <c r="AM45" i="19"/>
  <c r="AO45" i="19"/>
  <c r="AM46" i="19"/>
  <c r="AO46" i="19"/>
  <c r="AM47" i="19"/>
  <c r="AO47" i="19"/>
  <c r="AM48" i="19"/>
  <c r="AO48" i="19"/>
  <c r="F49" i="19"/>
  <c r="H49" i="19"/>
  <c r="I49" i="19"/>
  <c r="J49" i="19"/>
  <c r="K49" i="19"/>
  <c r="L49" i="19"/>
  <c r="N49" i="19"/>
  <c r="O49" i="19"/>
  <c r="P49" i="19"/>
  <c r="Q49" i="19"/>
  <c r="R49" i="19"/>
  <c r="T49" i="19"/>
  <c r="U49" i="19"/>
  <c r="V49" i="19"/>
  <c r="X49" i="19"/>
  <c r="Z49" i="19"/>
  <c r="AB49" i="19"/>
  <c r="AC49" i="19"/>
  <c r="AD49" i="19"/>
  <c r="AE49" i="19"/>
  <c r="AF49" i="19"/>
  <c r="AG49" i="19"/>
  <c r="AI49" i="19"/>
  <c r="AJ49" i="19"/>
  <c r="AM49" i="19"/>
  <c r="AO49" i="19"/>
  <c r="AW49" i="19"/>
  <c r="AY49" i="19"/>
  <c r="F50" i="19"/>
  <c r="H50" i="19"/>
  <c r="I50" i="19"/>
  <c r="J50" i="19"/>
  <c r="K50" i="19"/>
  <c r="L50" i="19"/>
  <c r="N50" i="19"/>
  <c r="O50" i="19"/>
  <c r="P50" i="19"/>
  <c r="Q50" i="19"/>
  <c r="R50" i="19"/>
  <c r="T50" i="19"/>
  <c r="U50" i="19"/>
  <c r="V50" i="19"/>
  <c r="X50" i="19"/>
  <c r="Z50" i="19"/>
  <c r="AB50" i="19"/>
  <c r="AC50" i="19"/>
  <c r="AD50" i="19"/>
  <c r="AE50" i="19"/>
  <c r="AF50" i="19"/>
  <c r="AG50" i="19"/>
  <c r="AI50" i="19"/>
  <c r="AJ50" i="19"/>
  <c r="AM50" i="19"/>
  <c r="AO50" i="19"/>
  <c r="AT53" i="19"/>
  <c r="AT59" i="19"/>
  <c r="AR61" i="19"/>
  <c r="AS61" i="19"/>
  <c r="AT61" i="19"/>
  <c r="AR63" i="19"/>
  <c r="AS63" i="19"/>
  <c r="AT63" i="19"/>
  <c r="AR65" i="19"/>
  <c r="AS65" i="19"/>
  <c r="AT65" i="19"/>
  <c r="AM8" i="22"/>
  <c r="AO8" i="22"/>
  <c r="AM9" i="22"/>
  <c r="AO9" i="22"/>
  <c r="AM10" i="22"/>
  <c r="AO10" i="22"/>
  <c r="AM11" i="22"/>
  <c r="AO11" i="22"/>
  <c r="AM12" i="22"/>
  <c r="AO12" i="22"/>
  <c r="AM13" i="22"/>
  <c r="AO13" i="22"/>
  <c r="AM14" i="22"/>
  <c r="AO14" i="22"/>
  <c r="AM15" i="22"/>
  <c r="AO15" i="22"/>
  <c r="AM16" i="22"/>
  <c r="AO16" i="22"/>
  <c r="AM17" i="22"/>
  <c r="AO17" i="22"/>
  <c r="AM18" i="22"/>
  <c r="AO18" i="22"/>
  <c r="AM19" i="22"/>
  <c r="AO19" i="22"/>
  <c r="AM20" i="22"/>
  <c r="AO20" i="22"/>
  <c r="AM21" i="22"/>
  <c r="AO21" i="22"/>
  <c r="AM22" i="22"/>
  <c r="AO22" i="22"/>
  <c r="AM23" i="22"/>
  <c r="AO23" i="22"/>
  <c r="AM24" i="22"/>
  <c r="AO24" i="22"/>
  <c r="AM25" i="22"/>
  <c r="AO25" i="22"/>
  <c r="AM26" i="22"/>
  <c r="AO26" i="22"/>
  <c r="AM27" i="22"/>
  <c r="AO27" i="22"/>
  <c r="AM28" i="22"/>
  <c r="AO28" i="22"/>
  <c r="AM29" i="22"/>
  <c r="AW29" i="22"/>
  <c r="AY29" i="22"/>
  <c r="AM30" i="22"/>
  <c r="AO30" i="22"/>
  <c r="AM31" i="22"/>
  <c r="AO31" i="22"/>
  <c r="AM32" i="22"/>
  <c r="AO32" i="22"/>
  <c r="AM33" i="22"/>
  <c r="AO33" i="22"/>
  <c r="AM34" i="22"/>
  <c r="AO34" i="22"/>
  <c r="AM35" i="22"/>
  <c r="AO35" i="22"/>
  <c r="AM36" i="22"/>
  <c r="AO36" i="22"/>
  <c r="AM37" i="22"/>
  <c r="AO37" i="22"/>
  <c r="AM38" i="22"/>
  <c r="AO38" i="22"/>
  <c r="AM39" i="22"/>
  <c r="AO39" i="22"/>
  <c r="AM40" i="22"/>
  <c r="AO40" i="22"/>
  <c r="AM41" i="22"/>
  <c r="AO41" i="22"/>
  <c r="AM42" i="22"/>
  <c r="AO42" i="22"/>
  <c r="AM43" i="22"/>
  <c r="AO43" i="22"/>
  <c r="AM44" i="22"/>
  <c r="AO44" i="22"/>
  <c r="AM45" i="22"/>
  <c r="AO45" i="22"/>
  <c r="AM46" i="22"/>
  <c r="AO46" i="22"/>
  <c r="AM47" i="22"/>
  <c r="AO47" i="22"/>
  <c r="AM48" i="22"/>
  <c r="AO48" i="22"/>
  <c r="L49" i="22"/>
  <c r="AM49" i="22"/>
  <c r="AW49" i="22"/>
  <c r="AY49" i="22"/>
  <c r="F50" i="22"/>
  <c r="H50" i="22"/>
  <c r="I50" i="22"/>
  <c r="J50" i="22"/>
  <c r="K50" i="22"/>
  <c r="L50" i="22"/>
  <c r="N50" i="22"/>
  <c r="O50" i="22"/>
  <c r="P50" i="22"/>
  <c r="Q50" i="22"/>
  <c r="R50" i="22"/>
  <c r="T50" i="22"/>
  <c r="U50" i="22"/>
  <c r="V50" i="22"/>
  <c r="X50" i="22"/>
  <c r="Z50" i="22"/>
  <c r="AB50" i="22"/>
  <c r="AC50" i="22"/>
  <c r="AD50" i="22"/>
  <c r="AE50" i="22"/>
  <c r="AF50" i="22"/>
  <c r="AG50" i="22"/>
  <c r="AI50" i="22"/>
  <c r="AJ50" i="22"/>
  <c r="AM50" i="22"/>
  <c r="AT53" i="22"/>
  <c r="AT59" i="22"/>
  <c r="AR61" i="22"/>
  <c r="AS61" i="22"/>
  <c r="AT61" i="22"/>
  <c r="AR63" i="22"/>
  <c r="AS63" i="22"/>
  <c r="AT63" i="22"/>
  <c r="AR65" i="22"/>
  <c r="AS65" i="22"/>
  <c r="AT65" i="22"/>
  <c r="AM8" i="21"/>
  <c r="AO8" i="21"/>
  <c r="AM9" i="21"/>
  <c r="AO9" i="21"/>
  <c r="AM10" i="21"/>
  <c r="AO10" i="21"/>
  <c r="AO11" i="21"/>
  <c r="AO12" i="21"/>
  <c r="AM13" i="21"/>
  <c r="AO13" i="21"/>
  <c r="AM14" i="21"/>
  <c r="AO14" i="21"/>
  <c r="AM15" i="21"/>
  <c r="AO15" i="21"/>
  <c r="AM16" i="21"/>
  <c r="AO16" i="21"/>
  <c r="AM17" i="21"/>
  <c r="AO17" i="21"/>
  <c r="AM18" i="21"/>
  <c r="AO18" i="21"/>
  <c r="AO19" i="21"/>
  <c r="AM20" i="21"/>
  <c r="AO20" i="21"/>
  <c r="AM21" i="21"/>
  <c r="AO21" i="21"/>
  <c r="AM22" i="21"/>
  <c r="AO22" i="21"/>
  <c r="AM23" i="21"/>
  <c r="AO23" i="21"/>
  <c r="AM24" i="21"/>
  <c r="AO24" i="21"/>
  <c r="AM25" i="21"/>
  <c r="AO25" i="21"/>
  <c r="AM26" i="21"/>
  <c r="AO26" i="21"/>
  <c r="AM27" i="21"/>
  <c r="AO27" i="21"/>
  <c r="AM28" i="21"/>
  <c r="AO28" i="21"/>
  <c r="AM29" i="21"/>
  <c r="AW29" i="21"/>
  <c r="AY29" i="21"/>
  <c r="AM30" i="21"/>
  <c r="AO30" i="21"/>
  <c r="AM31" i="21"/>
  <c r="AO31" i="21"/>
  <c r="AO32" i="21"/>
  <c r="AM33" i="21"/>
  <c r="AO33" i="21"/>
  <c r="AM34" i="21"/>
  <c r="AO34" i="21"/>
  <c r="AM35" i="21"/>
  <c r="AO35" i="21"/>
  <c r="AM36" i="21"/>
  <c r="AO36" i="21"/>
  <c r="AM37" i="21"/>
  <c r="AO37" i="21"/>
  <c r="AO38" i="21"/>
  <c r="AO39" i="21"/>
  <c r="AM40" i="21"/>
  <c r="AO40" i="21"/>
  <c r="AM41" i="21"/>
  <c r="AO41" i="21"/>
  <c r="AO42" i="21"/>
  <c r="AM43" i="21"/>
  <c r="AO43" i="21"/>
  <c r="AO44" i="21"/>
  <c r="AM45" i="21"/>
  <c r="AO45" i="21"/>
  <c r="AM46" i="21"/>
  <c r="AO46" i="21"/>
  <c r="AM47" i="21"/>
  <c r="AO47" i="21"/>
  <c r="AM48" i="21"/>
  <c r="AO48" i="21"/>
  <c r="AM49" i="21"/>
  <c r="AW49" i="21"/>
  <c r="AY49" i="21"/>
  <c r="F50" i="21"/>
  <c r="H50" i="21"/>
  <c r="I50" i="21"/>
  <c r="J50" i="21"/>
  <c r="K50" i="21"/>
  <c r="L50" i="21"/>
  <c r="N50" i="21"/>
  <c r="O50" i="21"/>
  <c r="P50" i="21"/>
  <c r="Q50" i="21"/>
  <c r="R50" i="21"/>
  <c r="T50" i="21"/>
  <c r="U50" i="21"/>
  <c r="V50" i="21"/>
  <c r="X50" i="21"/>
  <c r="Z50" i="21"/>
  <c r="AB50" i="21"/>
  <c r="AC50" i="21"/>
  <c r="AD50" i="21"/>
  <c r="AE50" i="21"/>
  <c r="AF50" i="21"/>
  <c r="AG50" i="21"/>
  <c r="AI50" i="21"/>
  <c r="AJ50" i="21"/>
  <c r="AM50" i="21"/>
  <c r="AO50" i="21"/>
  <c r="AT53" i="21"/>
  <c r="AT59" i="21"/>
  <c r="AR61" i="21"/>
  <c r="AS61" i="21"/>
  <c r="AT61" i="21"/>
  <c r="AR63" i="21"/>
  <c r="AS63" i="21"/>
  <c r="AT63" i="21"/>
  <c r="AR65" i="21"/>
  <c r="AS65" i="21"/>
  <c r="AT65" i="21"/>
  <c r="AO8" i="28"/>
  <c r="AM9" i="28"/>
  <c r="AO9" i="28"/>
  <c r="AO10" i="28"/>
  <c r="AM11" i="28"/>
  <c r="AO11" i="28"/>
  <c r="AM12" i="28"/>
  <c r="AO12" i="28"/>
  <c r="AM13" i="28"/>
  <c r="AO13" i="28"/>
  <c r="AM14" i="28"/>
  <c r="AO14" i="28"/>
  <c r="AM15" i="28"/>
  <c r="AO15" i="28"/>
  <c r="AM16" i="28"/>
  <c r="AO16" i="28"/>
  <c r="AO17" i="28"/>
  <c r="AO18" i="28"/>
  <c r="AM19" i="28"/>
  <c r="AO19" i="28"/>
  <c r="AM20" i="28"/>
  <c r="AO20" i="28"/>
  <c r="AM21" i="28"/>
  <c r="AO21" i="28"/>
  <c r="AM22" i="28"/>
  <c r="AO22" i="28"/>
  <c r="AM23" i="28"/>
  <c r="AO23" i="28"/>
  <c r="AM24" i="28"/>
  <c r="AO24" i="28"/>
  <c r="AM25" i="28"/>
  <c r="AO25" i="28"/>
  <c r="AM26" i="28"/>
  <c r="AO26" i="28"/>
  <c r="AM27" i="28"/>
  <c r="AO27" i="28"/>
  <c r="AM28" i="28"/>
  <c r="AO28" i="28"/>
  <c r="AM29" i="28"/>
  <c r="AW29" i="28"/>
  <c r="AY29" i="28"/>
  <c r="AM30" i="28"/>
  <c r="AO30" i="28"/>
  <c r="AM31" i="28"/>
  <c r="AO31" i="28"/>
  <c r="AM32" i="28"/>
  <c r="AO32" i="28"/>
  <c r="AM33" i="28"/>
  <c r="AO33" i="28"/>
  <c r="AM34" i="28"/>
  <c r="AO34" i="28"/>
  <c r="AM35" i="28"/>
  <c r="AO35" i="28"/>
  <c r="AO36" i="28"/>
  <c r="AO37" i="28"/>
  <c r="AO38" i="28"/>
  <c r="AM39" i="28"/>
  <c r="AO39" i="28"/>
  <c r="AO40" i="28"/>
  <c r="AM41" i="28"/>
  <c r="AO41" i="28"/>
  <c r="AM42" i="28"/>
  <c r="AO42" i="28"/>
  <c r="AM43" i="28"/>
  <c r="AO43" i="28"/>
  <c r="AM44" i="28"/>
  <c r="AO44" i="28"/>
  <c r="AM45" i="28"/>
  <c r="AO45" i="28"/>
  <c r="AM46" i="28"/>
  <c r="AO46" i="28"/>
  <c r="AM47" i="28"/>
  <c r="AO47" i="28"/>
  <c r="AM48" i="28"/>
  <c r="AO48" i="28"/>
  <c r="AM49" i="28"/>
  <c r="AW49" i="28"/>
  <c r="AY49" i="28"/>
  <c r="F50" i="28"/>
  <c r="H50" i="28"/>
  <c r="I50" i="28"/>
  <c r="J50" i="28"/>
  <c r="K50" i="28"/>
  <c r="L50" i="28"/>
  <c r="N50" i="28"/>
  <c r="O50" i="28"/>
  <c r="P50" i="28"/>
  <c r="Q50" i="28"/>
  <c r="R50" i="28"/>
  <c r="T50" i="28"/>
  <c r="U50" i="28"/>
  <c r="V50" i="28"/>
  <c r="X50" i="28"/>
  <c r="Z50" i="28"/>
  <c r="AB50" i="28"/>
  <c r="AC50" i="28"/>
  <c r="AD50" i="28"/>
  <c r="AE50" i="28"/>
  <c r="AG50" i="28"/>
  <c r="AI50" i="28"/>
  <c r="AJ50" i="28"/>
  <c r="AM50" i="28"/>
  <c r="AO50" i="28"/>
  <c r="AT53" i="28"/>
  <c r="AT59" i="28"/>
  <c r="AR61" i="28"/>
  <c r="AS61" i="28"/>
  <c r="AT61" i="28"/>
  <c r="AR63" i="28"/>
  <c r="AS63" i="28"/>
  <c r="AT63" i="28"/>
  <c r="AR65" i="28"/>
  <c r="AS65" i="28"/>
  <c r="AT65" i="28"/>
  <c r="AO8" i="17"/>
  <c r="AM9" i="17"/>
  <c r="AO9" i="17"/>
  <c r="AO10" i="17"/>
  <c r="AM11" i="17"/>
  <c r="AO11" i="17"/>
  <c r="AM12" i="17"/>
  <c r="AO12" i="17"/>
  <c r="AM13" i="17"/>
  <c r="AO13" i="17"/>
  <c r="AO14" i="17"/>
  <c r="AO16" i="17"/>
  <c r="AM17" i="17"/>
  <c r="AO17" i="17"/>
  <c r="AO18" i="17"/>
  <c r="AO19" i="17"/>
  <c r="AM20" i="17"/>
  <c r="AO20" i="17"/>
  <c r="AM21" i="17"/>
  <c r="AO21" i="17"/>
  <c r="AM22" i="17"/>
  <c r="AO22" i="17"/>
  <c r="AM23" i="17"/>
  <c r="AO23" i="17"/>
  <c r="AM24" i="17"/>
  <c r="AO24" i="17"/>
  <c r="AM25" i="17"/>
  <c r="AO25" i="17"/>
  <c r="AM26" i="17"/>
  <c r="AO26" i="17"/>
  <c r="AM27" i="17"/>
  <c r="AO27" i="17"/>
  <c r="AM28" i="17"/>
  <c r="AO28" i="17"/>
  <c r="AM30" i="17"/>
  <c r="AW30" i="17"/>
  <c r="AY30" i="17"/>
  <c r="AM31" i="17"/>
  <c r="AO31" i="17"/>
  <c r="AO32" i="17"/>
  <c r="AO33" i="17"/>
  <c r="AM34" i="17"/>
  <c r="AO34" i="17"/>
  <c r="AM35" i="17"/>
  <c r="AO35" i="17"/>
  <c r="AM36" i="17"/>
  <c r="AO36" i="17"/>
  <c r="AO37" i="17"/>
  <c r="AM38" i="17"/>
  <c r="AO38" i="17"/>
  <c r="AM39" i="17"/>
  <c r="AO39" i="17"/>
  <c r="AM40" i="17"/>
  <c r="AO40" i="17"/>
  <c r="AO41" i="17"/>
  <c r="AO42" i="17"/>
  <c r="AM43" i="17"/>
  <c r="AO43" i="17"/>
  <c r="AM44" i="17"/>
  <c r="AO44" i="17"/>
  <c r="AM45" i="17"/>
  <c r="AO45" i="17"/>
  <c r="AM46" i="17"/>
  <c r="AO46" i="17"/>
  <c r="AM47" i="17"/>
  <c r="AO47" i="17"/>
  <c r="AM48" i="17"/>
  <c r="AO48" i="17"/>
  <c r="AM49" i="17"/>
  <c r="AO49" i="17"/>
  <c r="H50" i="17"/>
  <c r="I50" i="17"/>
  <c r="J50" i="17"/>
  <c r="K50" i="17"/>
  <c r="L50" i="17"/>
  <c r="M50" i="17"/>
  <c r="N50" i="17"/>
  <c r="O50" i="17"/>
  <c r="P50" i="17"/>
  <c r="R50" i="17"/>
  <c r="V50" i="17"/>
  <c r="AB50" i="17"/>
  <c r="AC50" i="17"/>
  <c r="AE50" i="17"/>
  <c r="AF50" i="17"/>
  <c r="AG50" i="17"/>
  <c r="AH50" i="17"/>
  <c r="AJ50" i="17"/>
  <c r="AM50" i="17"/>
  <c r="AW50" i="17"/>
  <c r="AY50" i="17"/>
  <c r="F51" i="17"/>
  <c r="H51" i="17"/>
  <c r="I51" i="17"/>
  <c r="J51" i="17"/>
  <c r="K51" i="17"/>
  <c r="L51" i="17"/>
  <c r="N51" i="17"/>
  <c r="O51" i="17"/>
  <c r="P51" i="17"/>
  <c r="Q51" i="17"/>
  <c r="R51" i="17"/>
  <c r="T51" i="17"/>
  <c r="U51" i="17"/>
  <c r="V51" i="17"/>
  <c r="X51" i="17"/>
  <c r="Z51" i="17"/>
  <c r="AB51" i="17"/>
  <c r="AC51" i="17"/>
  <c r="AD51" i="17"/>
  <c r="AE51" i="17"/>
  <c r="AF51" i="17"/>
  <c r="AG51" i="17"/>
  <c r="AI51" i="17"/>
  <c r="AJ51" i="17"/>
  <c r="AM51" i="17"/>
  <c r="AO51" i="17"/>
  <c r="AT54" i="17"/>
  <c r="AT60" i="17"/>
  <c r="AR62" i="17"/>
  <c r="AS62" i="17"/>
  <c r="AT62" i="17"/>
  <c r="AS64" i="17"/>
  <c r="AT64" i="17"/>
  <c r="AR66" i="17"/>
  <c r="AS66" i="17"/>
  <c r="AT66" i="17"/>
  <c r="AM8" i="16"/>
  <c r="AO8" i="16"/>
  <c r="AM9" i="16"/>
  <c r="AO9" i="16"/>
  <c r="AM10" i="16"/>
  <c r="AO10" i="16"/>
  <c r="AM11" i="16"/>
  <c r="AO11" i="16"/>
  <c r="AM12" i="16"/>
  <c r="AO12" i="16"/>
  <c r="AM13" i="16"/>
  <c r="AO13" i="16"/>
  <c r="AM14" i="16"/>
  <c r="AO14" i="16"/>
  <c r="AM15" i="16"/>
  <c r="AO15" i="16"/>
  <c r="AM16" i="16"/>
  <c r="AO16" i="16"/>
  <c r="AM17" i="16"/>
  <c r="AO17" i="16"/>
  <c r="AM18" i="16"/>
  <c r="AO18" i="16"/>
  <c r="AM19" i="16"/>
  <c r="AO19" i="16"/>
  <c r="AM20" i="16"/>
  <c r="AO20" i="16"/>
  <c r="AM21" i="16"/>
  <c r="AO21" i="16"/>
  <c r="AM22" i="16"/>
  <c r="AO22" i="16"/>
  <c r="AM23" i="16"/>
  <c r="AO23" i="16"/>
  <c r="AM24" i="16"/>
  <c r="AO24" i="16"/>
  <c r="AM25" i="16"/>
  <c r="AO25" i="16"/>
  <c r="AM26" i="16"/>
  <c r="AO26" i="16"/>
  <c r="AM27" i="16"/>
  <c r="AO27" i="16"/>
  <c r="AM28" i="16"/>
  <c r="AO28" i="16"/>
  <c r="AM29" i="16"/>
  <c r="AO29" i="16"/>
  <c r="AW29" i="16"/>
  <c r="AY29" i="16"/>
  <c r="AM30" i="16"/>
  <c r="AO30" i="16"/>
  <c r="AM31" i="16"/>
  <c r="AO31" i="16"/>
  <c r="AM32" i="16"/>
  <c r="AO32" i="16"/>
  <c r="AM33" i="16"/>
  <c r="AO33" i="16"/>
  <c r="AM34" i="16"/>
  <c r="AO34" i="16"/>
  <c r="AM35" i="16"/>
  <c r="AO35" i="16"/>
  <c r="AM36" i="16"/>
  <c r="AO36" i="16"/>
  <c r="AM37" i="16"/>
  <c r="AO37" i="16"/>
  <c r="AM38" i="16"/>
  <c r="AO38" i="16"/>
  <c r="AM39" i="16"/>
  <c r="AO39" i="16"/>
  <c r="AM40" i="16"/>
  <c r="AO40" i="16"/>
  <c r="AM41" i="16"/>
  <c r="AO41" i="16"/>
  <c r="AM42" i="16"/>
  <c r="AO42" i="16"/>
  <c r="AM43" i="16"/>
  <c r="AO43" i="16"/>
  <c r="AM44" i="16"/>
  <c r="AO44" i="16"/>
  <c r="AM45" i="16"/>
  <c r="AO45" i="16"/>
  <c r="AM46" i="16"/>
  <c r="AO46" i="16"/>
  <c r="AM47" i="16"/>
  <c r="AO47" i="16"/>
  <c r="AM48" i="16"/>
  <c r="AO48" i="16"/>
  <c r="AM49" i="16"/>
  <c r="AO49" i="16"/>
  <c r="AW49" i="16"/>
  <c r="AY49" i="16"/>
  <c r="F50" i="16"/>
  <c r="H50" i="16"/>
  <c r="I50" i="16"/>
  <c r="J50" i="16"/>
  <c r="K50" i="16"/>
  <c r="L50" i="16"/>
  <c r="N50" i="16"/>
  <c r="O50" i="16"/>
  <c r="P50" i="16"/>
  <c r="Q50" i="16"/>
  <c r="R50" i="16"/>
  <c r="T50" i="16"/>
  <c r="U50" i="16"/>
  <c r="V50" i="16"/>
  <c r="X50" i="16"/>
  <c r="Z50" i="16"/>
  <c r="AB50" i="16"/>
  <c r="AC50" i="16"/>
  <c r="AD50" i="16"/>
  <c r="AE50" i="16"/>
  <c r="AF50" i="16"/>
  <c r="AG50" i="16"/>
  <c r="AI50" i="16"/>
  <c r="AJ50" i="16"/>
  <c r="AM50" i="16"/>
  <c r="AO50" i="16"/>
  <c r="AT53" i="16"/>
  <c r="AT59" i="16"/>
  <c r="AR61" i="16"/>
  <c r="AS61" i="16"/>
  <c r="AT61" i="16"/>
  <c r="AR63" i="16"/>
  <c r="AS63" i="16"/>
  <c r="AT63" i="16"/>
  <c r="AR65" i="16"/>
  <c r="AS65" i="16"/>
  <c r="AT65"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Floresa</author>
  </authors>
  <commentList>
    <comment ref="AM4" authorId="0" shapeId="0" xr:uid="{6BD587AF-AAA1-447D-B71E-3AA4A20D4FE6}">
      <text>
        <r>
          <rPr>
            <b/>
            <sz val="9"/>
            <color indexed="81"/>
            <rFont val="Tahoma"/>
            <family val="2"/>
          </rPr>
          <t>Floresa:</t>
        </r>
      </text>
    </comment>
  </commentList>
</comments>
</file>

<file path=xl/sharedStrings.xml><?xml version="1.0" encoding="utf-8"?>
<sst xmlns="http://schemas.openxmlformats.org/spreadsheetml/2006/main" count="1816" uniqueCount="136">
  <si>
    <t>School Form 2 (SF2) Daily Attendance Report of Learners</t>
  </si>
  <si>
    <t>(This replaces Form 1, Form 2 &amp; STS Form 4 - Absenteeism and Dropout Profile)</t>
  </si>
  <si>
    <t xml:space="preserve">School ID </t>
  </si>
  <si>
    <t xml:space="preserve">School Year </t>
  </si>
  <si>
    <t>Report for the Month of</t>
  </si>
  <si>
    <t/>
  </si>
  <si>
    <t>Name of School</t>
  </si>
  <si>
    <t>Grade Level</t>
  </si>
  <si>
    <t xml:space="preserve">Section </t>
  </si>
  <si>
    <t>No.</t>
  </si>
  <si>
    <t>NAME
(Last Name, First Name, Middle Name)</t>
  </si>
  <si>
    <t>(1st row for date)</t>
  </si>
  <si>
    <t>Total for the Month</t>
  </si>
  <si>
    <t>REMARKS (If NLS, state reason, please refer to legend number 2. If TRANSFERRED IN/OUT, write the name of School.)</t>
  </si>
  <si>
    <t>M</t>
  </si>
  <si>
    <t>T</t>
  </si>
  <si>
    <t>W</t>
  </si>
  <si>
    <t>TH</t>
  </si>
  <si>
    <t>F</t>
  </si>
  <si>
    <t>ABSENT</t>
  </si>
  <si>
    <t>PRESENT</t>
  </si>
  <si>
    <t>&lt;=== MALE | TOTAL Per Day ===&gt;</t>
  </si>
  <si>
    <t>&lt;=== FEMALE | TOTAL Per Day ===&gt;</t>
  </si>
  <si>
    <t>Combined TOTAL Per Day</t>
  </si>
  <si>
    <t>GUIDELINES:</t>
  </si>
  <si>
    <t>1. CODES FOR CHECKING ATTENDANCE</t>
  </si>
  <si>
    <t>Month :</t>
  </si>
  <si>
    <t>No. of Days of Classes:</t>
  </si>
  <si>
    <t>Summary</t>
  </si>
  <si>
    <t>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</si>
  <si>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</si>
  <si>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TOTAL</t>
  </si>
  <si>
    <t>* Enrolment as of (1st Friday of the SY)</t>
  </si>
  <si>
    <t>2. REASONS/CAUSES FOR NLS</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</si>
  <si>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</si>
  <si>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</si>
  <si>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</si>
  <si>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</si>
  <si>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</si>
  <si>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</si>
  <si>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</si>
  <si>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</si>
  <si>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</si>
  <si>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</si>
  <si>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</si>
  <si>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</si>
  <si>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</si>
  <si>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</si>
  <si>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</si>
  <si>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</si>
  <si>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</si>
  <si>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</si>
  <si>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b.1. Illness
b.2. Overage
b.3. Death
b.4. Drug Abuse
b.5. Poor academic performance
b.6. Lack of interest/Distractions
b.7. Hunger/Malnutrition</t>
  </si>
  <si>
    <t>Average Daily Attendance</t>
  </si>
  <si>
    <t>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</si>
  <si>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</si>
  <si>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</si>
  <si>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NLS</t>
  </si>
  <si>
    <t>*Beginning of School Year cut-off report is every 1st Friday of the School Year</t>
  </si>
  <si>
    <t>c. School-Related Factors</t>
  </si>
  <si>
    <t>Transferred out</t>
  </si>
  <si>
    <t>c.1. Teacher Factor
c.2. Physical condition of classroom
c.3. Peer influence</t>
  </si>
  <si>
    <t>Transferred in</t>
  </si>
  <si>
    <t>d. Geographic/Environmental</t>
  </si>
  <si>
    <t>I certify that this is a true and correct report.</t>
  </si>
  <si>
    <t>d.1. Distance between home and school
d.2. Armed conflict (incl. Tribal wars &amp; clanfeuds)
d.3. Calamities/Disasters</t>
  </si>
  <si>
    <t>e. Financial-Related</t>
  </si>
  <si>
    <t>e.1. Child labor, work</t>
  </si>
  <si>
    <t>(Signature of Adviser over Printed Name)</t>
  </si>
  <si>
    <t>f. Others (Specify)</t>
  </si>
  <si>
    <t>Attested by:</t>
  </si>
  <si>
    <t>Generated thru LIS</t>
  </si>
  <si>
    <t>(Signature of School Head over Printed Name)</t>
  </si>
  <si>
    <t>TOTAL NO. OF DAYS</t>
  </si>
  <si>
    <t>TOTAL NO. OF DAYS x NO. OF BOYS</t>
  </si>
  <si>
    <t>TOTAL NO. OF DAYS x NO. OF GIRLS</t>
    <phoneticPr fontId="2" type="noConversion"/>
  </si>
  <si>
    <t>GRADE 10</t>
  </si>
  <si>
    <t>JUNE</t>
  </si>
  <si>
    <t>ARISTOTLE</t>
  </si>
  <si>
    <t>2025-2026</t>
  </si>
  <si>
    <t>STA. CRUZ NHS</t>
  </si>
  <si>
    <t>JUAN DELA CRUZ</t>
  </si>
  <si>
    <t>MARIA DELA CRUZ</t>
  </si>
  <si>
    <t>JULY</t>
  </si>
  <si>
    <t>AUGUST</t>
  </si>
  <si>
    <t>I</t>
  </si>
  <si>
    <t>O</t>
  </si>
  <si>
    <t>Y</t>
  </si>
  <si>
    <t>A</t>
  </si>
  <si>
    <t>D</t>
  </si>
  <si>
    <t>L</t>
  </si>
  <si>
    <t>H</t>
  </si>
  <si>
    <t>E</t>
  </si>
  <si>
    <t>SEPTEMBER</t>
  </si>
  <si>
    <t>OCTOBER</t>
  </si>
  <si>
    <t>V</t>
  </si>
  <si>
    <t>CAMANIA,LIAN CARLO, SUGAY</t>
  </si>
  <si>
    <t>CUARES,JAIRO, ESPIRITU</t>
  </si>
  <si>
    <t>CUASITO,RONEX, -</t>
  </si>
  <si>
    <t>ESPENIDO,JANLEE, TENIO</t>
  </si>
  <si>
    <t>GALINDO,BASTY, LIMBANGANON</t>
  </si>
  <si>
    <t>GARCIANO,ERICK JOHN, BATALUNA</t>
  </si>
  <si>
    <t>GORNE,ISAAC GABRIEL, CABARDO</t>
  </si>
  <si>
    <t>MOJADO,RINCE, CONJURADO</t>
  </si>
  <si>
    <t>NAVALUNA,JOHN CHLEO, LIM</t>
  </si>
  <si>
    <t>SAMSON,RANDY JR., OCLARIT</t>
  </si>
  <si>
    <t>SANICO,ZAYNE ZYLER, DAYLE</t>
  </si>
  <si>
    <t>TAMPUS,GUEL MHER, AMPLAYO</t>
  </si>
  <si>
    <t>URDANETA,FRANCESS, BEBIS</t>
  </si>
  <si>
    <t>BAPTISMA,SOFIA, ESPIRITU</t>
  </si>
  <si>
    <t>BELACSE,MARJILEEN, PAPELLERAS</t>
  </si>
  <si>
    <t>CASIMERO,ANGEL CHRIS, CLAR</t>
  </si>
  <si>
    <t>DAGANATO,JESSICA, PALACIO</t>
  </si>
  <si>
    <t>DRAGAS,CLARISH, ESPIRITU</t>
  </si>
  <si>
    <t>FERNANDEZ,ANGELA, TENIO</t>
  </si>
  <si>
    <t>GARCIANO,PRINCESS SOPHIA, BATALUNA</t>
  </si>
  <si>
    <t>MEDEL,WYNE SCARLET, GARCIANO</t>
  </si>
  <si>
    <t>MIRANDA,DANIELLA FAYE, BABIANO</t>
  </si>
  <si>
    <t>ORANZA,CINDY JANE, FERNANDEZ</t>
  </si>
  <si>
    <t>SALIMBOT,RAFA LATISHA, -</t>
  </si>
  <si>
    <t>SAY-A,KHYLIE, LUCMAYON</t>
  </si>
  <si>
    <t>SILVIO,PRINCESS FEBB, TAGADI-AD</t>
  </si>
  <si>
    <t>TOLENTINO,JULLIANE MAY, NOYNAY</t>
  </si>
  <si>
    <t>ESPIRITU ELEMENTARY SCHOOL</t>
  </si>
  <si>
    <t>GRADE 3</t>
  </si>
  <si>
    <t>No. of Days of Classes:23</t>
  </si>
  <si>
    <t>/</t>
  </si>
  <si>
    <r>
      <t>FLORESA M. YBA</t>
    </r>
    <r>
      <rPr>
        <b/>
        <sz val="9"/>
        <color indexed="8"/>
        <rFont val="San Seriff"/>
      </rPr>
      <t>Ñ</t>
    </r>
    <r>
      <rPr>
        <b/>
        <sz val="9"/>
        <color indexed="8"/>
        <rFont val="SansSerif"/>
        <family val="2"/>
      </rPr>
      <t>EZ</t>
    </r>
  </si>
  <si>
    <t>ARNYL R. ARONES</t>
  </si>
  <si>
    <t>MATAPAT</t>
  </si>
  <si>
    <t>FLORESA M. YBAÑEZ</t>
  </si>
  <si>
    <t>MONTILLA,MAELD, JR., MANLIMOS</t>
  </si>
  <si>
    <t>x</t>
  </si>
  <si>
    <t>X</t>
  </si>
  <si>
    <r>
      <t>FLORESA M. YB</t>
    </r>
    <r>
      <rPr>
        <b/>
        <sz val="9"/>
        <color indexed="8"/>
        <rFont val="SansSerif"/>
      </rPr>
      <t>AÑ</t>
    </r>
    <r>
      <rPr>
        <b/>
        <sz val="9"/>
        <color indexed="8"/>
        <rFont val="SansSerif"/>
        <family val="2"/>
      </rPr>
      <t>EZ</t>
    </r>
  </si>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</sst>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
  </numFmts>
  <fonts count="29">
    <font>
      <sz val="10"/>
      <name val="Arial"/>
      <family val="2"/>
    </font>
    <font>
      <sz val="10"/>
      <name val="Arial"/>
      <family val="2"/>
    </font>
    <font>
      <sz val="9"/>
      <name val="NSimSun"/>
      <family val="3"/>
      <charset val="134"/>
    </font>
    <font>
      <b/>
      <sz val="9"/>
      <color indexed="8"/>
      <name val="SansSerif"/>
      <family val="2"/>
    </font>
    <font>
      <b/>
      <sz val="9"/>
      <color indexed="8"/>
      <name val="San Seriff"/>
    </font>
    <font>
      <b/>
      <sz val="9"/>
      <color indexed="81"/>
      <name val="Tahoma"/>
      <family val="2"/>
    </font>
    <font>
      <b/>
      <sz val="9"/>
      <color indexed="8"/>
      <name val="SansSerif"/>
      <family val="2"/>
    </font>
    <font>
      <b/>
      <sz val="9"/>
      <color indexed="8"/>
      <name val="SansSerif"/>
    </font>
    <font>
      <sz val="9"/>
      <color theme="1"/>
      <name val="SansSerif"/>
      <family val="2"/>
    </font>
    <font>
      <b/>
      <sz val="5"/>
      <color theme="1"/>
      <name val="SansSerif"/>
      <family val="2"/>
    </font>
    <font>
      <sz val="10"/>
      <color theme="1"/>
      <name val="Arial"/>
      <family val="2"/>
    </font>
    <font>
      <sz val="6"/>
      <color theme="1"/>
      <name val="SansSerif"/>
      <family val="2"/>
    </font>
    <font>
      <sz val="7"/>
      <color theme="1"/>
      <name val="SansSerif"/>
      <family val="2"/>
    </font>
    <font>
      <b/>
      <sz val="5"/>
      <color theme="1"/>
      <name val="Arial Narrow"/>
      <family val="2"/>
    </font>
    <font>
      <sz val="9"/>
      <color theme="1"/>
      <name val="Calibri"/>
      <family val="2"/>
    </font>
    <font>
      <b/>
      <sz val="9"/>
      <color theme="1"/>
      <name val="SansSerif"/>
      <family val="2"/>
    </font>
    <font>
      <sz val="7"/>
      <color theme="1"/>
      <name val="SansSerif"/>
    </font>
    <font>
      <b/>
      <sz val="13"/>
      <color theme="1"/>
      <name val="SansSerif"/>
      <family val="2"/>
    </font>
    <font>
      <i/>
      <sz val="5"/>
      <color theme="1"/>
      <name val="SansSerif"/>
      <family val="2"/>
    </font>
    <font>
      <sz val="8"/>
      <color theme="1"/>
      <name val="SansSerif"/>
      <family val="2"/>
    </font>
    <font>
      <b/>
      <sz val="6"/>
      <color theme="1"/>
      <name val="SansSerif"/>
      <family val="2"/>
    </font>
    <font>
      <b/>
      <sz val="8"/>
      <color theme="1"/>
      <name val="SansSerif"/>
      <family val="2"/>
    </font>
    <font>
      <b/>
      <sz val="14"/>
      <color theme="1"/>
      <name val="Arial"/>
      <family val="2"/>
    </font>
    <font>
      <b/>
      <sz val="11"/>
      <color theme="1"/>
      <name val="Arial Narrow"/>
      <family val="2"/>
    </font>
    <font>
      <sz val="8"/>
      <color theme="1"/>
      <name val="Arial"/>
      <family val="2"/>
    </font>
    <font>
      <sz val="5"/>
      <color theme="1"/>
      <name val="SansSerif"/>
      <family val="2"/>
    </font>
    <font>
      <b/>
      <i/>
      <sz val="5"/>
      <color theme="1"/>
      <name val="SansSerif"/>
      <family val="2"/>
    </font>
    <font>
      <i/>
      <sz val="8"/>
      <color theme="1"/>
      <name val="SansSerif"/>
      <family val="2"/>
    </font>
    <font>
      <b/>
      <sz val="9"/>
      <color theme="1"/>
      <name val="Calibri"/>
      <family val="2"/>
    </font>
  </fonts>
  <fills count="7">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4" tint="0.39997558519241921"/>
        <bgColor indexed="64"/>
      </patternFill>
    </fill>
    <fill>
      <patternFill patternType="solid">
        <fgColor rgb="FFD503C6"/>
        <bgColor indexed="64"/>
      </patternFill>
    </fill>
    <fill>
      <patternFill patternType="solid">
        <fgColor theme="9" tint="0.59999389629810485"/>
        <bgColor indexed="64"/>
      </patternFill>
    </fill>
  </fills>
  <borders count="103">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diagonal/>
    </border>
    <border>
      <left style="thin">
        <color indexed="8"/>
      </left>
      <right style="thin">
        <color indexed="8"/>
      </right>
      <top style="medium">
        <color indexed="64"/>
      </top>
      <bottom style="medium">
        <color indexed="8"/>
      </bottom>
      <diagonal/>
    </border>
    <border>
      <left style="thin">
        <color indexed="8"/>
      </left>
      <right style="thin">
        <color indexed="8"/>
      </right>
      <top style="thin">
        <color indexed="8"/>
      </top>
      <bottom style="medium">
        <color indexed="64"/>
      </bottom>
      <diagonal/>
    </border>
    <border>
      <left style="thin">
        <color indexed="8"/>
      </left>
      <right/>
      <top style="thin">
        <color indexed="8"/>
      </top>
      <bottom style="medium">
        <color indexed="64"/>
      </bottom>
      <diagonal/>
    </border>
    <border>
      <left style="thin">
        <color indexed="8"/>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8"/>
      </left>
      <right style="thin">
        <color indexed="8"/>
      </right>
      <top/>
      <bottom style="medium">
        <color indexed="8"/>
      </bottom>
      <diagonal/>
    </border>
    <border>
      <left style="thin">
        <color indexed="8"/>
      </left>
      <right style="thin">
        <color indexed="8"/>
      </right>
      <top style="medium">
        <color indexed="64"/>
      </top>
      <bottom style="medium">
        <color indexed="64"/>
      </bottom>
      <diagonal/>
    </border>
    <border>
      <left style="thin">
        <color indexed="8"/>
      </left>
      <right style="thin">
        <color indexed="8"/>
      </right>
      <top/>
      <bottom style="thin">
        <color indexed="8"/>
      </bottom>
      <diagonal/>
    </border>
    <border>
      <left style="thin">
        <color indexed="8"/>
      </left>
      <right style="medium">
        <color indexed="8"/>
      </right>
      <top/>
      <bottom style="thin">
        <color indexed="8"/>
      </bottom>
      <diagonal/>
    </border>
    <border>
      <left style="medium">
        <color indexed="8"/>
      </left>
      <right style="thin">
        <color indexed="8"/>
      </right>
      <top/>
      <bottom style="thin">
        <color indexed="8"/>
      </bottom>
      <diagonal/>
    </border>
    <border>
      <left style="thin">
        <color indexed="8"/>
      </left>
      <right style="medium">
        <color indexed="64"/>
      </right>
      <top style="medium">
        <color indexed="64"/>
      </top>
      <bottom style="medium">
        <color indexed="64"/>
      </bottom>
      <diagonal/>
    </border>
    <border>
      <left style="thin">
        <color indexed="8"/>
      </left>
      <right/>
      <top style="medium">
        <color indexed="64"/>
      </top>
      <bottom style="medium">
        <color indexed="64"/>
      </bottom>
      <diagonal/>
    </border>
    <border>
      <left style="medium">
        <color indexed="64"/>
      </left>
      <right style="thin">
        <color indexed="8"/>
      </right>
      <top style="medium">
        <color indexed="64"/>
      </top>
      <bottom style="medium">
        <color indexed="64"/>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8"/>
      </top>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medium">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right style="medium">
        <color indexed="8"/>
      </right>
      <top style="medium">
        <color indexed="8"/>
      </top>
      <bottom style="thin">
        <color indexed="8"/>
      </bottom>
      <diagonal/>
    </border>
    <border>
      <left style="medium">
        <color indexed="8"/>
      </left>
      <right/>
      <top style="thin">
        <color indexed="8"/>
      </top>
      <bottom/>
      <diagonal/>
    </border>
    <border>
      <left/>
      <right style="thin">
        <color indexed="8"/>
      </right>
      <top style="thin">
        <color indexed="8"/>
      </top>
      <bottom/>
      <diagonal/>
    </border>
    <border>
      <left style="thin">
        <color indexed="8"/>
      </left>
      <right/>
      <top style="thin">
        <color indexed="8"/>
      </top>
      <bottom/>
      <diagonal/>
    </border>
    <border>
      <left/>
      <right style="medium">
        <color indexed="8"/>
      </right>
      <top style="thin">
        <color indexed="8"/>
      </top>
      <bottom/>
      <diagonal/>
    </border>
    <border>
      <left style="thin">
        <color indexed="8"/>
      </left>
      <right/>
      <top style="double">
        <color indexed="8"/>
      </top>
      <bottom style="medium">
        <color indexed="8"/>
      </bottom>
      <diagonal/>
    </border>
    <border>
      <left/>
      <right/>
      <top style="double">
        <color indexed="8"/>
      </top>
      <bottom style="medium">
        <color indexed="8"/>
      </bottom>
      <diagonal/>
    </border>
    <border>
      <left style="medium">
        <color indexed="64"/>
      </left>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8"/>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indexed="8"/>
      </top>
      <bottom style="medium">
        <color indexed="8"/>
      </bottom>
      <diagonal/>
    </border>
    <border>
      <left/>
      <right style="medium">
        <color indexed="8"/>
      </right>
      <top style="thin">
        <color indexed="8"/>
      </top>
      <bottom style="medium">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thin">
        <color indexed="8"/>
      </left>
      <right/>
      <top style="medium">
        <color indexed="64"/>
      </top>
      <bottom style="thin">
        <color indexed="8"/>
      </bottom>
      <diagonal/>
    </border>
    <border>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8"/>
      </left>
      <right/>
      <top style="thin">
        <color indexed="8"/>
      </top>
      <bottom style="medium">
        <color indexed="64"/>
      </bottom>
      <diagonal/>
    </border>
    <border>
      <left/>
      <right style="thin">
        <color indexed="8"/>
      </right>
      <top style="thin">
        <color indexed="8"/>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8"/>
      </bottom>
      <diagonal/>
    </border>
    <border>
      <left/>
      <right style="thin">
        <color indexed="8"/>
      </right>
      <top style="medium">
        <color indexed="64"/>
      </top>
      <bottom style="medium">
        <color indexed="8"/>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8"/>
      </left>
      <right/>
      <top style="medium">
        <color indexed="64"/>
      </top>
      <bottom style="medium">
        <color indexed="8"/>
      </bottom>
      <diagonal/>
    </border>
    <border>
      <left/>
      <right style="thin">
        <color indexed="8"/>
      </right>
      <top/>
      <bottom style="medium">
        <color indexed="8"/>
      </bottom>
      <diagonal/>
    </border>
    <border>
      <left style="medium">
        <color indexed="64"/>
      </left>
      <right/>
      <top style="thin">
        <color indexed="8"/>
      </top>
      <bottom style="medium">
        <color indexed="64"/>
      </bottom>
      <diagonal/>
    </border>
    <border>
      <left style="thin">
        <color indexed="8"/>
      </left>
      <right/>
      <top/>
      <bottom/>
      <diagonal/>
    </border>
    <border>
      <left/>
      <right style="thin">
        <color indexed="8"/>
      </right>
      <top/>
      <bottom/>
      <diagonal/>
    </border>
    <border>
      <left style="medium">
        <color indexed="8"/>
      </left>
      <right/>
      <top style="medium">
        <color indexed="8"/>
      </top>
      <bottom style="thin">
        <color indexed="8"/>
      </bottom>
      <diagonal/>
    </border>
    <border>
      <left/>
      <right/>
      <top/>
      <bottom style="thin">
        <color indexed="8"/>
      </bottom>
      <diagonal/>
    </border>
    <border>
      <left/>
      <right style="thin">
        <color indexed="9"/>
      </right>
      <top/>
      <bottom/>
      <diagonal/>
    </border>
    <border>
      <left style="thin">
        <color indexed="8"/>
      </left>
      <right style="thin">
        <color indexed="8"/>
      </right>
      <top/>
      <bottom/>
      <diagonal/>
    </border>
    <border>
      <left/>
      <right/>
      <top style="thin">
        <color indexed="8"/>
      </top>
      <bottom/>
      <diagonal/>
    </border>
    <border>
      <left style="thin">
        <color indexed="8"/>
      </left>
      <right/>
      <top/>
      <bottom style="medium">
        <color indexed="8"/>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style="thin">
        <color indexed="8"/>
      </left>
      <right/>
      <top style="medium">
        <color indexed="8"/>
      </top>
      <bottom style="medium">
        <color indexed="8"/>
      </bottom>
      <diagonal/>
    </border>
    <border>
      <left/>
      <right/>
      <top style="medium">
        <color indexed="8"/>
      </top>
      <bottom style="medium">
        <color indexed="8"/>
      </bottom>
      <diagonal/>
    </border>
  </borders>
  <cellStyleXfs count="2">
    <xf numFmtId="0" fontId="0" fillId="0" borderId="0" applyNumberFormat="0" applyFont="0" applyFill="0" applyBorder="0" applyAlignment="0" applyProtection="0"/>
    <xf numFmtId="0" fontId="1" fillId="0" borderId="0" applyNumberFormat="0" applyFont="0" applyFill="0" applyBorder="0" applyAlignment="0" applyProtection="0"/>
  </cellStyleXfs>
  <cellXfs count="301">
    <xf numFmtId="0" fontId="0" fillId="0" borderId="0" xfId="0" applyNumberFormat="1" applyFont="1" applyFill="1" applyBorder="1" applyAlignment="1"/>
    <xf numFmtId="0" fontId="8" fillId="0" borderId="0" xfId="1" applyNumberFormat="1" applyFont="1" applyFill="1" applyBorder="1" applyAlignment="1" applyProtection="1">
      <alignment horizontal="left" vertical="top" wrapText="1"/>
    </xf>
    <xf numFmtId="0" fontId="8" fillId="0" borderId="1" xfId="1" applyNumberFormat="1" applyFont="1" applyFill="1" applyBorder="1" applyAlignment="1" applyProtection="1">
      <alignment horizontal="center" vertical="center" wrapText="1"/>
    </xf>
    <xf numFmtId="0" fontId="9" fillId="0" borderId="2" xfId="1" applyNumberFormat="1" applyFont="1" applyFill="1" applyBorder="1" applyAlignment="1" applyProtection="1">
      <alignment horizontal="center" vertical="center" wrapText="1"/>
    </xf>
    <xf numFmtId="0" fontId="10" fillId="0" borderId="3" xfId="1" applyNumberFormat="1" applyFont="1" applyFill="1" applyBorder="1" applyAlignment="1"/>
    <xf numFmtId="0" fontId="10" fillId="0" borderId="4" xfId="1" applyNumberFormat="1" applyFont="1" applyFill="1" applyBorder="1" applyAlignment="1"/>
    <xf numFmtId="0" fontId="10" fillId="0" borderId="5" xfId="1" applyNumberFormat="1" applyFont="1" applyFill="1" applyBorder="1" applyAlignment="1"/>
    <xf numFmtId="0" fontId="10" fillId="0" borderId="6" xfId="1" applyNumberFormat="1" applyFont="1" applyFill="1" applyBorder="1" applyAlignment="1"/>
    <xf numFmtId="0" fontId="10" fillId="0" borderId="7" xfId="1" applyNumberFormat="1" applyFont="1" applyFill="1" applyBorder="1" applyAlignment="1"/>
    <xf numFmtId="0" fontId="8" fillId="0" borderId="1" xfId="1" applyNumberFormat="1" applyFont="1" applyFill="1" applyBorder="1" applyAlignment="1" applyProtection="1">
      <alignment horizontal="left" vertical="top" wrapText="1"/>
    </xf>
    <xf numFmtId="0" fontId="8" fillId="0" borderId="8" xfId="1" applyNumberFormat="1" applyFont="1" applyFill="1" applyBorder="1" applyAlignment="1" applyProtection="1">
      <alignment horizontal="left" vertical="top" wrapText="1"/>
    </xf>
    <xf numFmtId="0" fontId="8" fillId="0" borderId="9" xfId="1" applyNumberFormat="1" applyFont="1" applyFill="1" applyBorder="1" applyAlignment="1" applyProtection="1">
      <alignment horizontal="left" vertical="top" wrapText="1"/>
    </xf>
    <xf numFmtId="0" fontId="10" fillId="3" borderId="7" xfId="1" applyNumberFormat="1" applyFont="1" applyFill="1" applyBorder="1" applyAlignment="1"/>
    <xf numFmtId="0" fontId="11" fillId="0" borderId="2" xfId="1" applyNumberFormat="1" applyFont="1" applyFill="1" applyBorder="1" applyAlignment="1" applyProtection="1">
      <alignment horizontal="center" vertical="center" wrapText="1"/>
    </xf>
    <xf numFmtId="0" fontId="11" fillId="0" borderId="10" xfId="1" applyNumberFormat="1" applyFont="1" applyFill="1" applyBorder="1" applyAlignment="1" applyProtection="1">
      <alignment horizontal="center" vertical="center" wrapText="1"/>
    </xf>
    <xf numFmtId="0" fontId="8" fillId="0" borderId="11" xfId="1" applyNumberFormat="1" applyFont="1" applyFill="1" applyBorder="1" applyAlignment="1" applyProtection="1">
      <alignment horizontal="left" vertical="top" wrapText="1"/>
    </xf>
    <xf numFmtId="0" fontId="8" fillId="0" borderId="12" xfId="1" applyNumberFormat="1" applyFont="1" applyFill="1" applyBorder="1" applyAlignment="1" applyProtection="1">
      <alignment horizontal="left" vertical="top" wrapText="1"/>
    </xf>
    <xf numFmtId="0" fontId="8" fillId="0" borderId="13" xfId="1" applyNumberFormat="1" applyFont="1" applyFill="1" applyBorder="1" applyAlignment="1" applyProtection="1">
      <alignment horizontal="left" vertical="top" wrapText="1"/>
    </xf>
    <xf numFmtId="0" fontId="8" fillId="0" borderId="14" xfId="1" applyNumberFormat="1" applyFont="1" applyFill="1" applyBorder="1" applyAlignment="1" applyProtection="1">
      <alignment horizontal="left" vertical="top" wrapText="1"/>
    </xf>
    <xf numFmtId="0" fontId="8" fillId="0" borderId="15" xfId="1" applyNumberFormat="1" applyFont="1" applyFill="1" applyBorder="1" applyAlignment="1" applyProtection="1">
      <alignment horizontal="left" vertical="top" wrapText="1"/>
    </xf>
    <xf numFmtId="0" fontId="8" fillId="0" borderId="16" xfId="1" applyNumberFormat="1" applyFont="1" applyFill="1" applyBorder="1" applyAlignment="1" applyProtection="1">
      <alignment horizontal="left" vertical="top" wrapText="1"/>
    </xf>
    <xf numFmtId="0" fontId="8" fillId="0" borderId="17" xfId="1" applyNumberFormat="1" applyFont="1" applyFill="1" applyBorder="1" applyAlignment="1" applyProtection="1">
      <alignment horizontal="left" vertical="top" wrapText="1"/>
    </xf>
    <xf numFmtId="0" fontId="8" fillId="0" borderId="18" xfId="1" applyNumberFormat="1" applyFont="1" applyFill="1" applyBorder="1" applyAlignment="1" applyProtection="1">
      <alignment horizontal="left" vertical="top" wrapText="1"/>
    </xf>
    <xf numFmtId="0" fontId="8" fillId="0" borderId="19" xfId="1" applyNumberFormat="1" applyFont="1" applyFill="1" applyBorder="1" applyAlignment="1" applyProtection="1">
      <alignment horizontal="left" vertical="top" wrapText="1"/>
    </xf>
    <xf numFmtId="0" fontId="8" fillId="0" borderId="20" xfId="1" applyNumberFormat="1" applyFont="1" applyFill="1" applyBorder="1" applyAlignment="1" applyProtection="1">
      <alignment horizontal="left" vertical="top" wrapText="1"/>
    </xf>
    <xf numFmtId="0" fontId="8" fillId="0" borderId="21" xfId="1" applyNumberFormat="1" applyFont="1" applyFill="1" applyBorder="1" applyAlignment="1" applyProtection="1">
      <alignment horizontal="left" vertical="top" wrapText="1"/>
    </xf>
    <xf numFmtId="0" fontId="8" fillId="0" borderId="22" xfId="1" applyNumberFormat="1" applyFont="1" applyFill="1" applyBorder="1" applyAlignment="1" applyProtection="1">
      <alignment horizontal="left" vertical="top" wrapText="1"/>
    </xf>
    <xf numFmtId="0" fontId="8" fillId="0" borderId="23" xfId="1" applyNumberFormat="1" applyFont="1" applyFill="1" applyBorder="1" applyAlignment="1" applyProtection="1">
      <alignment horizontal="left" vertical="top" wrapText="1"/>
    </xf>
    <xf numFmtId="0" fontId="8" fillId="0" borderId="24" xfId="1" applyNumberFormat="1" applyFont="1" applyFill="1" applyBorder="1" applyAlignment="1" applyProtection="1">
      <alignment horizontal="left" vertical="top" wrapText="1"/>
    </xf>
    <xf numFmtId="0" fontId="8" fillId="0" borderId="25" xfId="1" applyNumberFormat="1" applyFont="1" applyFill="1" applyBorder="1" applyAlignment="1" applyProtection="1">
      <alignment horizontal="left" vertical="top" wrapText="1"/>
    </xf>
    <xf numFmtId="0" fontId="8" fillId="0" borderId="26" xfId="1" applyNumberFormat="1" applyFont="1" applyFill="1" applyBorder="1" applyAlignment="1" applyProtection="1">
      <alignment horizontal="left" vertical="top" wrapText="1"/>
    </xf>
    <xf numFmtId="0" fontId="8" fillId="0" borderId="27" xfId="1" applyNumberFormat="1" applyFont="1" applyFill="1" applyBorder="1" applyAlignment="1" applyProtection="1">
      <alignment horizontal="left" vertical="top" wrapText="1"/>
    </xf>
    <xf numFmtId="0" fontId="8" fillId="0" borderId="28" xfId="1" applyNumberFormat="1" applyFont="1" applyFill="1" applyBorder="1" applyAlignment="1" applyProtection="1">
      <alignment horizontal="left" vertical="top" wrapText="1"/>
    </xf>
    <xf numFmtId="0" fontId="8" fillId="0" borderId="29" xfId="1" applyNumberFormat="1" applyFont="1" applyFill="1" applyBorder="1" applyAlignment="1" applyProtection="1">
      <alignment horizontal="left" vertical="top" wrapText="1"/>
    </xf>
    <xf numFmtId="0" fontId="8" fillId="0" borderId="30" xfId="1" applyNumberFormat="1" applyFont="1" applyFill="1" applyBorder="1" applyAlignment="1" applyProtection="1">
      <alignment horizontal="left" vertical="top" wrapText="1"/>
    </xf>
    <xf numFmtId="0" fontId="12" fillId="0" borderId="31" xfId="0" applyFont="1" applyFill="1" applyBorder="1" applyAlignment="1">
      <alignment horizontal="left" vertical="center" wrapText="1"/>
    </xf>
    <xf numFmtId="0" fontId="10" fillId="0" borderId="0" xfId="1" applyNumberFormat="1" applyFont="1" applyFill="1" applyBorder="1" applyAlignment="1"/>
    <xf numFmtId="0" fontId="13" fillId="0" borderId="32" xfId="1" applyFont="1" applyBorder="1" applyAlignment="1">
      <alignment horizontal="center" vertical="center" wrapText="1"/>
    </xf>
    <xf numFmtId="1" fontId="8" fillId="0" borderId="1" xfId="1" applyNumberFormat="1" applyFont="1" applyFill="1" applyBorder="1" applyAlignment="1" applyProtection="1">
      <alignment horizontal="center" vertical="center" wrapText="1"/>
    </xf>
    <xf numFmtId="176" fontId="10" fillId="4" borderId="0" xfId="1" applyNumberFormat="1" applyFont="1" applyFill="1" applyBorder="1" applyAlignment="1"/>
    <xf numFmtId="176" fontId="10" fillId="5" borderId="0" xfId="1" applyNumberFormat="1" applyFont="1" applyFill="1" applyBorder="1" applyAlignment="1"/>
    <xf numFmtId="0" fontId="10" fillId="0" borderId="0" xfId="1" applyNumberFormat="1" applyFont="1" applyFill="1" applyBorder="1" applyAlignment="1"/>
    <xf numFmtId="0" fontId="8" fillId="0" borderId="33" xfId="1" applyFont="1" applyFill="1" applyBorder="1" applyAlignment="1">
      <alignment horizontal="left" vertical="top" wrapText="1"/>
    </xf>
    <xf numFmtId="0" fontId="8" fillId="0" borderId="34" xfId="1" applyFont="1" applyFill="1" applyBorder="1" applyAlignment="1">
      <alignment horizontal="left" vertical="top" wrapText="1"/>
    </xf>
    <xf numFmtId="0" fontId="8" fillId="0" borderId="35" xfId="1" applyFont="1" applyFill="1" applyBorder="1" applyAlignment="1">
      <alignment horizontal="left" vertical="top" wrapText="1"/>
    </xf>
    <xf numFmtId="0" fontId="8" fillId="0" borderId="32" xfId="1" applyFont="1" applyFill="1" applyBorder="1" applyAlignment="1">
      <alignment horizontal="left" vertical="top" wrapText="1"/>
    </xf>
    <xf numFmtId="0" fontId="13" fillId="0" borderId="35" xfId="1" applyFont="1" applyBorder="1" applyAlignment="1">
      <alignment horizontal="center" vertical="center" wrapText="1"/>
    </xf>
    <xf numFmtId="0" fontId="13" fillId="0" borderId="31" xfId="1" applyFont="1" applyBorder="1" applyAlignment="1">
      <alignment horizontal="center" vertical="center" wrapText="1"/>
    </xf>
    <xf numFmtId="0" fontId="13" fillId="0" borderId="32" xfId="1" applyFont="1" applyBorder="1" applyAlignment="1">
      <alignment horizontal="center" vertical="center" wrapText="1"/>
    </xf>
    <xf numFmtId="0" fontId="14" fillId="0" borderId="1" xfId="1" applyNumberFormat="1" applyFont="1" applyFill="1" applyBorder="1" applyAlignment="1" applyProtection="1">
      <alignment horizontal="left" vertical="top" wrapText="1"/>
    </xf>
    <xf numFmtId="0" fontId="14" fillId="0" borderId="9" xfId="1" applyNumberFormat="1" applyFont="1" applyFill="1" applyBorder="1" applyAlignment="1" applyProtection="1">
      <alignment horizontal="left" vertical="top" wrapText="1"/>
    </xf>
    <xf numFmtId="0" fontId="14" fillId="0" borderId="8" xfId="1" applyNumberFormat="1" applyFont="1" applyFill="1" applyBorder="1" applyAlignment="1" applyProtection="1">
      <alignment horizontal="left" vertical="top" wrapText="1"/>
    </xf>
    <xf numFmtId="0" fontId="14" fillId="0" borderId="35" xfId="1" applyNumberFormat="1" applyFont="1" applyFill="1" applyBorder="1" applyAlignment="1" applyProtection="1">
      <alignment horizontal="left" vertical="top" wrapText="1"/>
    </xf>
    <xf numFmtId="0" fontId="15" fillId="0" borderId="36" xfId="1" applyNumberFormat="1" applyFont="1" applyFill="1" applyBorder="1" applyAlignment="1" applyProtection="1">
      <alignment wrapText="1"/>
    </xf>
    <xf numFmtId="0" fontId="12" fillId="0" borderId="31" xfId="0" applyFont="1" applyFill="1" applyBorder="1" applyAlignment="1">
      <alignment horizontal="left" vertical="center" wrapText="1"/>
    </xf>
    <xf numFmtId="0" fontId="16" fillId="0" borderId="34" xfId="0" applyFont="1" applyBorder="1" applyAlignment="1">
      <alignment horizontal="left" vertical="center" wrapText="1"/>
    </xf>
    <xf numFmtId="0" fontId="8" fillId="0" borderId="35" xfId="1" applyFont="1" applyFill="1" applyBorder="1" applyAlignment="1">
      <alignment horizontal="center" vertical="top" wrapText="1"/>
    </xf>
    <xf numFmtId="0" fontId="8" fillId="0" borderId="32" xfId="1" applyFont="1" applyFill="1" applyBorder="1" applyAlignment="1">
      <alignment horizontal="center" vertical="top" wrapText="1"/>
    </xf>
    <xf numFmtId="0" fontId="8" fillId="0" borderId="33" xfId="1" applyFont="1" applyFill="1" applyBorder="1" applyAlignment="1">
      <alignment horizontal="center" vertical="top" wrapText="1"/>
    </xf>
    <xf numFmtId="0" fontId="8" fillId="0" borderId="34" xfId="1" applyFont="1" applyFill="1" applyBorder="1" applyAlignment="1">
      <alignment horizontal="center" vertical="top" wrapText="1"/>
    </xf>
    <xf numFmtId="0" fontId="8" fillId="0" borderId="58" xfId="1" applyFont="1" applyBorder="1" applyAlignment="1">
      <alignment horizontal="center" vertical="center" wrapText="1"/>
    </xf>
    <xf numFmtId="0" fontId="8" fillId="0" borderId="59" xfId="1" applyFont="1" applyBorder="1" applyAlignment="1">
      <alignment horizontal="center" vertical="center" wrapText="1"/>
    </xf>
    <xf numFmtId="0" fontId="8" fillId="0" borderId="93" xfId="1" applyFont="1" applyBorder="1" applyAlignment="1">
      <alignment horizontal="center" vertical="center" wrapText="1"/>
    </xf>
    <xf numFmtId="0" fontId="8" fillId="0" borderId="45" xfId="1" applyFont="1" applyBorder="1" applyAlignment="1">
      <alignment horizontal="center" vertical="center" wrapText="1"/>
    </xf>
    <xf numFmtId="0" fontId="15" fillId="0" borderId="36" xfId="1" applyNumberFormat="1" applyFont="1" applyFill="1" applyBorder="1" applyAlignment="1" applyProtection="1">
      <alignment horizontal="center" wrapText="1"/>
    </xf>
    <xf numFmtId="0" fontId="15" fillId="0" borderId="36" xfId="1" applyFont="1" applyBorder="1" applyAlignment="1">
      <alignment horizontal="center" wrapText="1"/>
    </xf>
    <xf numFmtId="0" fontId="8" fillId="0" borderId="12" xfId="1" applyFont="1" applyBorder="1" applyAlignment="1">
      <alignment horizontal="center" vertical="center" wrapText="1"/>
    </xf>
    <xf numFmtId="0" fontId="8" fillId="0" borderId="23" xfId="1" applyFont="1" applyBorder="1" applyAlignment="1">
      <alignment horizontal="center" vertical="center" wrapText="1"/>
    </xf>
    <xf numFmtId="0" fontId="11" fillId="0" borderId="94" xfId="1" applyFont="1" applyBorder="1" applyAlignment="1">
      <alignment horizontal="left" vertical="center" wrapText="1"/>
    </xf>
    <xf numFmtId="0" fontId="11" fillId="0" borderId="95" xfId="1" applyFont="1" applyBorder="1" applyAlignment="1">
      <alignment horizontal="left" vertical="center" wrapText="1"/>
    </xf>
    <xf numFmtId="0" fontId="11" fillId="0" borderId="96" xfId="1" applyFont="1" applyBorder="1" applyAlignment="1">
      <alignment horizontal="left" vertical="center" wrapText="1"/>
    </xf>
    <xf numFmtId="0" fontId="11" fillId="0" borderId="97" xfId="1" applyFont="1" applyBorder="1" applyAlignment="1">
      <alignment horizontal="left" vertical="center" wrapText="1"/>
    </xf>
    <xf numFmtId="0" fontId="10" fillId="0" borderId="0" xfId="1" applyNumberFormat="1" applyFont="1" applyFill="1" applyBorder="1" applyAlignment="1"/>
    <xf numFmtId="0" fontId="11" fillId="0" borderId="90" xfId="1" applyFont="1" applyBorder="1" applyAlignment="1">
      <alignment horizontal="left" vertical="center" wrapText="1"/>
    </xf>
    <xf numFmtId="0" fontId="11" fillId="0" borderId="98" xfId="1" applyFont="1" applyBorder="1" applyAlignment="1">
      <alignment horizontal="left" vertical="center" wrapText="1"/>
    </xf>
    <xf numFmtId="0" fontId="11" fillId="0" borderId="99" xfId="1" applyFont="1" applyBorder="1" applyAlignment="1">
      <alignment horizontal="left" vertical="center" wrapText="1"/>
    </xf>
    <xf numFmtId="0" fontId="11" fillId="0" borderId="100" xfId="1" applyFont="1" applyBorder="1" applyAlignment="1">
      <alignment horizontal="left" vertical="center" wrapText="1"/>
    </xf>
    <xf numFmtId="0" fontId="25" fillId="0" borderId="86" xfId="1" applyFont="1" applyBorder="1" applyAlignment="1">
      <alignment horizontal="left" vertical="top" wrapText="1"/>
    </xf>
    <xf numFmtId="0" fontId="25" fillId="0" borderId="0" xfId="1" applyFont="1" applyBorder="1" applyAlignment="1">
      <alignment horizontal="left" vertical="top" wrapText="1"/>
    </xf>
    <xf numFmtId="0" fontId="25" fillId="0" borderId="87" xfId="1" applyFont="1" applyBorder="1" applyAlignment="1">
      <alignment horizontal="left" vertical="top" wrapText="1"/>
    </xf>
    <xf numFmtId="0" fontId="12" fillId="0" borderId="46" xfId="1" applyFont="1" applyBorder="1" applyAlignment="1">
      <alignment horizontal="center" vertical="top" wrapText="1"/>
    </xf>
    <xf numFmtId="0" fontId="11" fillId="0" borderId="0" xfId="1" applyNumberFormat="1" applyFont="1" applyFill="1" applyBorder="1" applyAlignment="1" applyProtection="1">
      <alignment horizontal="center" vertical="top" wrapText="1"/>
    </xf>
    <xf numFmtId="0" fontId="9" fillId="0" borderId="86" xfId="1" applyFont="1" applyBorder="1" applyAlignment="1">
      <alignment horizontal="left" vertical="center" wrapText="1"/>
    </xf>
    <xf numFmtId="0" fontId="9" fillId="0" borderId="0" xfId="1" applyFont="1" applyBorder="1" applyAlignment="1">
      <alignment horizontal="left" vertical="center" wrapText="1"/>
    </xf>
    <xf numFmtId="0" fontId="9" fillId="0" borderId="87" xfId="1" applyFont="1" applyBorder="1" applyAlignment="1">
      <alignment horizontal="left" vertical="center" wrapText="1"/>
    </xf>
    <xf numFmtId="0" fontId="27" fillId="0" borderId="0" xfId="1" applyNumberFormat="1" applyFont="1" applyFill="1" applyBorder="1" applyAlignment="1" applyProtection="1">
      <alignment horizontal="left" vertical="center" wrapText="1"/>
    </xf>
    <xf numFmtId="0" fontId="15" fillId="0" borderId="0" xfId="1" applyFont="1" applyBorder="1" applyAlignment="1">
      <alignment horizontal="center" wrapText="1"/>
    </xf>
    <xf numFmtId="0" fontId="9" fillId="0" borderId="42" xfId="1" applyFont="1" applyBorder="1" applyAlignment="1">
      <alignment horizontal="center" vertical="center" wrapText="1"/>
    </xf>
    <xf numFmtId="0" fontId="9" fillId="0" borderId="0" xfId="1" applyFont="1" applyBorder="1" applyAlignment="1">
      <alignment horizontal="center" vertical="center" wrapText="1"/>
    </xf>
    <xf numFmtId="0" fontId="9" fillId="0" borderId="87" xfId="1" applyFont="1" applyBorder="1" applyAlignment="1">
      <alignment horizontal="center" vertical="center" wrapText="1"/>
    </xf>
    <xf numFmtId="0" fontId="9" fillId="0" borderId="44" xfId="1" applyFont="1" applyBorder="1" applyAlignment="1">
      <alignment horizontal="center" vertical="center" wrapText="1"/>
    </xf>
    <xf numFmtId="0" fontId="9" fillId="0" borderId="36" xfId="1" applyFont="1" applyBorder="1" applyAlignment="1">
      <alignment horizontal="center" vertical="center" wrapText="1"/>
    </xf>
    <xf numFmtId="0" fontId="9" fillId="0" borderId="84" xfId="1" applyFont="1" applyBorder="1" applyAlignment="1">
      <alignment horizontal="center" vertical="center" wrapText="1"/>
    </xf>
    <xf numFmtId="0" fontId="9" fillId="0" borderId="86" xfId="1" applyFont="1" applyBorder="1" applyAlignment="1">
      <alignment horizontal="left" vertical="top" wrapText="1"/>
    </xf>
    <xf numFmtId="0" fontId="9" fillId="0" borderId="0" xfId="1" applyFont="1" applyBorder="1" applyAlignment="1">
      <alignment horizontal="left" vertical="top" wrapText="1"/>
    </xf>
    <xf numFmtId="0" fontId="9" fillId="0" borderId="87" xfId="1" applyFont="1" applyBorder="1" applyAlignment="1">
      <alignment horizontal="left" vertical="top" wrapText="1"/>
    </xf>
    <xf numFmtId="0" fontId="9" fillId="0" borderId="71" xfId="1" applyFont="1" applyBorder="1" applyAlignment="1">
      <alignment horizontal="left" vertical="top" wrapText="1"/>
    </xf>
    <xf numFmtId="0" fontId="9" fillId="0" borderId="89" xfId="1" applyFont="1" applyBorder="1" applyAlignment="1">
      <alignment horizontal="left" vertical="top" wrapText="1"/>
    </xf>
    <xf numFmtId="0" fontId="9" fillId="0" borderId="70" xfId="1" applyFont="1" applyBorder="1" applyAlignment="1">
      <alignment horizontal="left" vertical="top" wrapText="1"/>
    </xf>
    <xf numFmtId="0" fontId="9" fillId="0" borderId="69" xfId="1" applyFont="1" applyBorder="1" applyAlignment="1">
      <alignment horizontal="center" vertical="center" wrapText="1"/>
    </xf>
    <xf numFmtId="0" fontId="9" fillId="0" borderId="89" xfId="1" applyFont="1" applyBorder="1" applyAlignment="1">
      <alignment horizontal="center" vertical="center" wrapText="1"/>
    </xf>
    <xf numFmtId="0" fontId="9" fillId="0" borderId="70" xfId="1" applyFont="1" applyBorder="1" applyAlignment="1">
      <alignment horizontal="center" vertical="center" wrapText="1"/>
    </xf>
    <xf numFmtId="0" fontId="8" fillId="0" borderId="25" xfId="1" applyFont="1" applyBorder="1" applyAlignment="1">
      <alignment horizontal="center" vertical="center" wrapText="1"/>
    </xf>
    <xf numFmtId="0" fontId="8" fillId="0" borderId="71" xfId="1" applyFont="1" applyBorder="1" applyAlignment="1">
      <alignment horizontal="center" vertical="center" wrapText="1"/>
    </xf>
    <xf numFmtId="0" fontId="8" fillId="0" borderId="72" xfId="1" applyFont="1" applyBorder="1" applyAlignment="1">
      <alignment horizontal="center" vertical="center" wrapText="1"/>
    </xf>
    <xf numFmtId="0" fontId="18" fillId="0" borderId="69" xfId="1" applyFont="1" applyBorder="1" applyAlignment="1">
      <alignment horizontal="center" vertical="center" wrapText="1"/>
    </xf>
    <xf numFmtId="0" fontId="18" fillId="0" borderId="89" xfId="1" applyFont="1" applyBorder="1" applyAlignment="1">
      <alignment horizontal="center" vertical="center" wrapText="1"/>
    </xf>
    <xf numFmtId="0" fontId="18" fillId="0" borderId="70" xfId="1" applyFont="1" applyBorder="1" applyAlignment="1">
      <alignment horizontal="center" vertical="center" wrapText="1"/>
    </xf>
    <xf numFmtId="1" fontId="8" fillId="0" borderId="35" xfId="1" applyNumberFormat="1" applyFont="1" applyFill="1" applyBorder="1" applyAlignment="1">
      <alignment horizontal="center" vertical="center" wrapText="1"/>
    </xf>
    <xf numFmtId="1" fontId="8" fillId="0" borderId="32" xfId="1" applyNumberFormat="1" applyFont="1" applyFill="1" applyBorder="1" applyAlignment="1">
      <alignment horizontal="center" vertical="center" wrapText="1"/>
    </xf>
    <xf numFmtId="0" fontId="8" fillId="0" borderId="35" xfId="1" applyFont="1" applyBorder="1" applyAlignment="1">
      <alignment horizontal="center" vertical="center" wrapText="1"/>
    </xf>
    <xf numFmtId="0" fontId="8" fillId="0" borderId="32" xfId="1" applyFont="1" applyBorder="1" applyAlignment="1">
      <alignment horizontal="center" vertical="center" wrapText="1"/>
    </xf>
    <xf numFmtId="0" fontId="9" fillId="0" borderId="56" xfId="1" applyFont="1" applyBorder="1" applyAlignment="1">
      <alignment horizontal="center" vertical="center" wrapText="1"/>
    </xf>
    <xf numFmtId="0" fontId="9" fillId="0" borderId="92" xfId="1" applyFont="1" applyBorder="1" applyAlignment="1">
      <alignment horizontal="center" vertical="center" wrapText="1"/>
    </xf>
    <xf numFmtId="0" fontId="9" fillId="0" borderId="57" xfId="1" applyFont="1" applyBorder="1" applyAlignment="1">
      <alignment horizontal="center" vertical="center" wrapText="1"/>
    </xf>
    <xf numFmtId="0" fontId="8" fillId="0" borderId="58" xfId="1" applyFont="1" applyFill="1" applyBorder="1" applyAlignment="1">
      <alignment horizontal="center" vertical="center" wrapText="1"/>
    </xf>
    <xf numFmtId="0" fontId="8" fillId="0" borderId="59" xfId="1" applyFont="1" applyFill="1" applyBorder="1" applyAlignment="1">
      <alignment horizontal="center" vertical="center" wrapText="1"/>
    </xf>
    <xf numFmtId="0" fontId="8" fillId="0" borderId="71" xfId="1" applyFont="1" applyFill="1" applyBorder="1" applyAlignment="1">
      <alignment horizontal="center" vertical="center" wrapText="1"/>
    </xf>
    <xf numFmtId="0" fontId="8" fillId="0" borderId="72" xfId="1" applyFont="1" applyFill="1" applyBorder="1" applyAlignment="1">
      <alignment horizontal="center" vertical="center" wrapText="1"/>
    </xf>
    <xf numFmtId="0" fontId="11" fillId="0" borderId="0" xfId="1" applyNumberFormat="1" applyFont="1" applyFill="1" applyBorder="1" applyAlignment="1" applyProtection="1">
      <alignment horizontal="center" vertical="center" wrapText="1"/>
    </xf>
    <xf numFmtId="0" fontId="26" fillId="0" borderId="69" xfId="1" applyFont="1" applyBorder="1" applyAlignment="1">
      <alignment horizontal="center" vertical="top" wrapText="1"/>
    </xf>
    <xf numFmtId="0" fontId="26" fillId="0" borderId="89" xfId="1" applyFont="1" applyBorder="1" applyAlignment="1">
      <alignment horizontal="center" vertical="top" wrapText="1"/>
    </xf>
    <xf numFmtId="0" fontId="26" fillId="0" borderId="70" xfId="1" applyFont="1" applyBorder="1" applyAlignment="1">
      <alignment horizontal="center" vertical="top" wrapText="1"/>
    </xf>
    <xf numFmtId="0" fontId="18" fillId="0" borderId="42" xfId="1" applyFont="1" applyBorder="1" applyAlignment="1">
      <alignment horizontal="center" vertical="center" wrapText="1"/>
    </xf>
    <xf numFmtId="0" fontId="18" fillId="0" borderId="0" xfId="1" applyFont="1" applyBorder="1" applyAlignment="1">
      <alignment horizontal="center" vertical="center" wrapText="1"/>
    </xf>
    <xf numFmtId="0" fontId="18" fillId="0" borderId="87" xfId="1" applyFont="1" applyBorder="1" applyAlignment="1">
      <alignment horizontal="center" vertical="center" wrapText="1"/>
    </xf>
    <xf numFmtId="1" fontId="8" fillId="0" borderId="12" xfId="1" applyNumberFormat="1" applyFont="1" applyFill="1" applyBorder="1" applyAlignment="1">
      <alignment horizontal="center" vertical="center" wrapText="1"/>
    </xf>
    <xf numFmtId="1" fontId="8" fillId="0" borderId="25" xfId="1" applyNumberFormat="1" applyFont="1" applyFill="1" applyBorder="1" applyAlignment="1">
      <alignment horizontal="center" vertical="center" wrapText="1"/>
    </xf>
    <xf numFmtId="1" fontId="8" fillId="0" borderId="58" xfId="1" applyNumberFormat="1" applyFont="1" applyFill="1" applyBorder="1" applyAlignment="1">
      <alignment horizontal="center" vertical="center" wrapText="1"/>
    </xf>
    <xf numFmtId="1" fontId="8" fillId="0" borderId="59" xfId="1" applyNumberFormat="1" applyFont="1" applyFill="1" applyBorder="1" applyAlignment="1">
      <alignment horizontal="center" vertical="center" wrapText="1"/>
    </xf>
    <xf numFmtId="1" fontId="8" fillId="0" borderId="71" xfId="1" applyNumberFormat="1" applyFont="1" applyFill="1" applyBorder="1" applyAlignment="1">
      <alignment horizontal="center" vertical="center" wrapText="1"/>
    </xf>
    <xf numFmtId="1" fontId="8" fillId="0" borderId="72" xfId="1" applyNumberFormat="1" applyFont="1" applyFill="1" applyBorder="1" applyAlignment="1">
      <alignment horizontal="center" vertical="center" wrapText="1"/>
    </xf>
    <xf numFmtId="0" fontId="11" fillId="0" borderId="0" xfId="1" applyNumberFormat="1" applyFont="1" applyFill="1" applyBorder="1" applyAlignment="1" applyProtection="1">
      <alignment horizontal="justify" vertical="top" wrapText="1"/>
    </xf>
    <xf numFmtId="0" fontId="11" fillId="0" borderId="0" xfId="1" applyNumberFormat="1" applyFont="1" applyFill="1" applyBorder="1" applyAlignment="1" applyProtection="1">
      <alignment horizontal="left" vertical="center" wrapText="1"/>
    </xf>
    <xf numFmtId="0" fontId="11" fillId="0" borderId="89" xfId="1" applyFont="1" applyBorder="1" applyAlignment="1">
      <alignment horizontal="center" vertical="center" wrapText="1"/>
    </xf>
    <xf numFmtId="0" fontId="18" fillId="0" borderId="56" xfId="1" applyFont="1" applyBorder="1" applyAlignment="1">
      <alignment horizontal="center" wrapText="1"/>
    </xf>
    <xf numFmtId="0" fontId="18" fillId="0" borderId="92" xfId="1" applyFont="1" applyBorder="1" applyAlignment="1">
      <alignment horizontal="center" wrapText="1"/>
    </xf>
    <xf numFmtId="0" fontId="18" fillId="0" borderId="57" xfId="1" applyFont="1" applyBorder="1" applyAlignment="1">
      <alignment horizontal="center" wrapText="1"/>
    </xf>
    <xf numFmtId="0" fontId="8" fillId="0" borderId="12" xfId="1" applyFont="1" applyFill="1" applyBorder="1" applyAlignment="1">
      <alignment horizontal="center" vertical="center" wrapText="1"/>
    </xf>
    <xf numFmtId="0" fontId="8" fillId="0" borderId="25" xfId="1" applyFont="1" applyFill="1" applyBorder="1" applyAlignment="1">
      <alignment horizontal="center" vertical="center" wrapText="1"/>
    </xf>
    <xf numFmtId="0" fontId="8" fillId="2" borderId="12" xfId="1" applyFont="1" applyFill="1" applyBorder="1" applyAlignment="1">
      <alignment horizontal="center" vertical="center" wrapText="1"/>
    </xf>
    <xf numFmtId="0" fontId="8" fillId="2" borderId="91" xfId="1" applyFont="1" applyFill="1" applyBorder="1" applyAlignment="1">
      <alignment horizontal="center" vertical="center" wrapText="1"/>
    </xf>
    <xf numFmtId="0" fontId="8" fillId="2" borderId="25" xfId="1" applyFont="1" applyFill="1" applyBorder="1" applyAlignment="1">
      <alignment horizontal="center" vertical="center" wrapText="1"/>
    </xf>
    <xf numFmtId="0" fontId="8" fillId="2" borderId="58" xfId="1" applyFont="1" applyFill="1" applyBorder="1" applyAlignment="1">
      <alignment horizontal="center" vertical="center" wrapText="1"/>
    </xf>
    <xf numFmtId="0" fontId="8" fillId="2" borderId="59" xfId="1" applyFont="1" applyFill="1" applyBorder="1" applyAlignment="1">
      <alignment horizontal="center" vertical="center" wrapText="1"/>
    </xf>
    <xf numFmtId="0" fontId="8" fillId="2" borderId="86" xfId="1" applyFont="1" applyFill="1" applyBorder="1" applyAlignment="1">
      <alignment horizontal="center" vertical="center" wrapText="1"/>
    </xf>
    <xf numFmtId="0" fontId="8" fillId="2" borderId="43" xfId="1" applyFont="1" applyFill="1" applyBorder="1" applyAlignment="1">
      <alignment horizontal="center" vertical="center" wrapText="1"/>
    </xf>
    <xf numFmtId="0" fontId="8" fillId="2" borderId="71" xfId="1" applyFont="1" applyFill="1" applyBorder="1" applyAlignment="1">
      <alignment horizontal="center" vertical="center" wrapText="1"/>
    </xf>
    <xf numFmtId="0" fontId="8" fillId="2" borderId="72" xfId="1" applyFont="1" applyFill="1" applyBorder="1" applyAlignment="1">
      <alignment horizontal="center" vertical="center" wrapText="1"/>
    </xf>
    <xf numFmtId="0" fontId="11" fillId="0" borderId="0" xfId="1" applyFont="1" applyBorder="1" applyAlignment="1">
      <alignment horizontal="center" vertical="center" wrapText="1"/>
    </xf>
    <xf numFmtId="0" fontId="25" fillId="0" borderId="86" xfId="1" applyFont="1" applyBorder="1" applyAlignment="1">
      <alignment horizontal="center" vertical="top" wrapText="1"/>
    </xf>
    <xf numFmtId="0" fontId="25" fillId="0" borderId="0" xfId="1" applyFont="1" applyBorder="1" applyAlignment="1">
      <alignment horizontal="center" vertical="top" wrapText="1"/>
    </xf>
    <xf numFmtId="0" fontId="25" fillId="0" borderId="87" xfId="1" applyFont="1" applyBorder="1" applyAlignment="1">
      <alignment horizontal="center" vertical="top" wrapText="1"/>
    </xf>
    <xf numFmtId="0" fontId="9" fillId="0" borderId="52" xfId="1" applyFont="1" applyBorder="1" applyAlignment="1">
      <alignment horizontal="center" vertical="center" wrapText="1"/>
    </xf>
    <xf numFmtId="0" fontId="9" fillId="0" borderId="68" xfId="1" applyFont="1" applyBorder="1" applyAlignment="1">
      <alignment horizontal="center" vertical="center" wrapText="1"/>
    </xf>
    <xf numFmtId="0" fontId="11" fillId="0" borderId="42" xfId="1" applyFont="1" applyBorder="1" applyAlignment="1">
      <alignment horizontal="left" vertical="center" wrapText="1"/>
    </xf>
    <xf numFmtId="0" fontId="11" fillId="0" borderId="0" xfId="1" applyFont="1" applyBorder="1" applyAlignment="1">
      <alignment horizontal="left" vertical="center" wrapText="1"/>
    </xf>
    <xf numFmtId="0" fontId="11" fillId="0" borderId="87" xfId="1" applyFont="1" applyBorder="1" applyAlignment="1">
      <alignment horizontal="left" vertical="center" wrapText="1"/>
    </xf>
    <xf numFmtId="0" fontId="11" fillId="0" borderId="69" xfId="1" applyFont="1" applyBorder="1" applyAlignment="1">
      <alignment horizontal="left" vertical="center" wrapText="1"/>
    </xf>
    <xf numFmtId="0" fontId="11" fillId="0" borderId="89" xfId="1" applyFont="1" applyBorder="1" applyAlignment="1">
      <alignment horizontal="left" vertical="center" wrapText="1"/>
    </xf>
    <xf numFmtId="0" fontId="11" fillId="0" borderId="70" xfId="1" applyFont="1" applyBorder="1" applyAlignment="1">
      <alignment horizontal="left" vertical="center" wrapText="1"/>
    </xf>
    <xf numFmtId="176" fontId="8" fillId="2" borderId="12" xfId="1" applyNumberFormat="1" applyFont="1" applyFill="1" applyBorder="1" applyAlignment="1">
      <alignment horizontal="center" vertical="center" wrapText="1"/>
    </xf>
    <xf numFmtId="176" fontId="8" fillId="2" borderId="25" xfId="1" applyNumberFormat="1" applyFont="1" applyFill="1" applyBorder="1" applyAlignment="1">
      <alignment horizontal="center" vertical="center" wrapText="1"/>
    </xf>
    <xf numFmtId="0" fontId="18" fillId="0" borderId="42" xfId="1" applyFont="1" applyBorder="1" applyAlignment="1">
      <alignment horizontal="right" vertical="center" wrapText="1"/>
    </xf>
    <xf numFmtId="0" fontId="18" fillId="0" borderId="0" xfId="1" applyFont="1" applyBorder="1" applyAlignment="1">
      <alignment horizontal="right" vertical="center" wrapText="1"/>
    </xf>
    <xf numFmtId="0" fontId="18" fillId="0" borderId="90" xfId="1" applyFont="1" applyBorder="1" applyAlignment="1">
      <alignment horizontal="right" vertical="center" wrapText="1"/>
    </xf>
    <xf numFmtId="0" fontId="26" fillId="0" borderId="0" xfId="1" applyFont="1" applyBorder="1" applyAlignment="1">
      <alignment horizontal="left" vertical="center" wrapText="1"/>
    </xf>
    <xf numFmtId="0" fontId="26" fillId="0" borderId="87" xfId="1" applyFont="1" applyBorder="1" applyAlignment="1">
      <alignment horizontal="left" vertical="center" wrapText="1"/>
    </xf>
    <xf numFmtId="0" fontId="8" fillId="0" borderId="66" xfId="1" applyFont="1" applyFill="1" applyBorder="1" applyAlignment="1">
      <alignment horizontal="left" vertical="top" wrapText="1"/>
    </xf>
    <xf numFmtId="0" fontId="8" fillId="0" borderId="78" xfId="1" applyFont="1" applyFill="1" applyBorder="1" applyAlignment="1">
      <alignment horizontal="left" vertical="top" wrapText="1"/>
    </xf>
    <xf numFmtId="0" fontId="23" fillId="0" borderId="67" xfId="1" applyFont="1" applyBorder="1" applyAlignment="1">
      <alignment horizontal="center" vertical="center" wrapText="1"/>
    </xf>
    <xf numFmtId="0" fontId="23" fillId="0" borderId="68" xfId="1" applyFont="1" applyBorder="1" applyAlignment="1">
      <alignment horizontal="center" vertical="center" wrapText="1"/>
    </xf>
    <xf numFmtId="0" fontId="23" fillId="0" borderId="50" xfId="1" applyFont="1" applyBorder="1" applyAlignment="1">
      <alignment horizontal="center" vertical="center" wrapText="1"/>
    </xf>
    <xf numFmtId="0" fontId="13" fillId="0" borderId="50" xfId="1" applyFont="1" applyBorder="1" applyAlignment="1">
      <alignment horizontal="center" vertical="center" wrapText="1"/>
    </xf>
    <xf numFmtId="0" fontId="13" fillId="0" borderId="67" xfId="1" applyFont="1" applyBorder="1" applyAlignment="1">
      <alignment horizontal="center" vertical="center" wrapText="1"/>
    </xf>
    <xf numFmtId="0" fontId="13" fillId="0" borderId="68" xfId="1" applyFont="1" applyBorder="1" applyAlignment="1">
      <alignment horizontal="center" vertical="center" wrapText="1"/>
    </xf>
    <xf numFmtId="0" fontId="20" fillId="0" borderId="0" xfId="1" applyNumberFormat="1" applyFont="1" applyFill="1" applyBorder="1" applyAlignment="1" applyProtection="1">
      <alignment horizontal="left" vertical="center" wrapText="1"/>
    </xf>
    <xf numFmtId="0" fontId="20" fillId="0" borderId="40" xfId="1" applyFont="1" applyBorder="1" applyAlignment="1">
      <alignment horizontal="left" vertical="top" wrapText="1"/>
    </xf>
    <xf numFmtId="0" fontId="20" fillId="0" borderId="46" xfId="1" applyFont="1" applyBorder="1" applyAlignment="1">
      <alignment horizontal="left" vertical="top" wrapText="1"/>
    </xf>
    <xf numFmtId="0" fontId="20" fillId="0" borderId="41" xfId="1" applyFont="1" applyBorder="1" applyAlignment="1">
      <alignment horizontal="left" vertical="top" wrapText="1"/>
    </xf>
    <xf numFmtId="0" fontId="20" fillId="0" borderId="44" xfId="1" applyFont="1" applyBorder="1" applyAlignment="1">
      <alignment horizontal="left" vertical="top" wrapText="1"/>
    </xf>
    <xf numFmtId="0" fontId="20" fillId="0" borderId="36" xfId="1" applyFont="1" applyBorder="1" applyAlignment="1">
      <alignment horizontal="left" vertical="top" wrapText="1"/>
    </xf>
    <xf numFmtId="0" fontId="20" fillId="0" borderId="45" xfId="1" applyFont="1" applyBorder="1" applyAlignment="1">
      <alignment horizontal="left" vertical="top" wrapText="1"/>
    </xf>
    <xf numFmtId="0" fontId="9" fillId="0" borderId="88" xfId="1" applyFont="1" applyBorder="1" applyAlignment="1">
      <alignment horizontal="center" vertical="center" wrapText="1"/>
    </xf>
    <xf numFmtId="0" fontId="9" fillId="0" borderId="48" xfId="1" applyFont="1" applyBorder="1" applyAlignment="1">
      <alignment horizontal="center" vertical="center" wrapText="1"/>
    </xf>
    <xf numFmtId="0" fontId="9" fillId="0" borderId="55" xfId="1" applyFont="1" applyBorder="1" applyAlignment="1">
      <alignment horizontal="center" vertical="center" wrapText="1"/>
    </xf>
    <xf numFmtId="0" fontId="11" fillId="0" borderId="0" xfId="1" applyNumberFormat="1" applyFont="1" applyFill="1" applyBorder="1" applyAlignment="1" applyProtection="1">
      <alignment horizontal="left" vertical="top" wrapText="1"/>
    </xf>
    <xf numFmtId="176" fontId="12" fillId="0" borderId="50" xfId="1" applyNumberFormat="1" applyFont="1" applyFill="1" applyBorder="1" applyAlignment="1">
      <alignment horizontal="center" vertical="center" wrapText="1"/>
    </xf>
    <xf numFmtId="176" fontId="12" fillId="0" borderId="51" xfId="1" applyNumberFormat="1" applyFont="1" applyFill="1" applyBorder="1" applyAlignment="1">
      <alignment horizontal="center" vertical="center" wrapText="1"/>
    </xf>
    <xf numFmtId="0" fontId="12" fillId="0" borderId="52" xfId="1" applyFont="1" applyFill="1" applyBorder="1" applyAlignment="1">
      <alignment horizontal="center" vertical="center" wrapText="1"/>
    </xf>
    <xf numFmtId="0" fontId="12" fillId="0" borderId="67" xfId="1" applyFont="1" applyFill="1" applyBorder="1" applyAlignment="1">
      <alignment horizontal="center" vertical="center" wrapText="1"/>
    </xf>
    <xf numFmtId="0" fontId="12" fillId="0" borderId="51" xfId="1" applyFont="1" applyFill="1" applyBorder="1" applyAlignment="1">
      <alignment horizontal="center" vertical="center" wrapText="1"/>
    </xf>
    <xf numFmtId="0" fontId="8" fillId="0" borderId="83" xfId="1" applyFont="1" applyFill="1" applyBorder="1" applyAlignment="1">
      <alignment horizontal="left" vertical="top" wrapText="1"/>
    </xf>
    <xf numFmtId="0" fontId="8" fillId="0" borderId="80" xfId="1" applyFont="1" applyFill="1" applyBorder="1" applyAlignment="1">
      <alignment horizontal="left" vertical="top" wrapText="1"/>
    </xf>
    <xf numFmtId="0" fontId="8" fillId="0" borderId="44" xfId="1" applyFont="1" applyFill="1" applyBorder="1" applyAlignment="1">
      <alignment horizontal="left" vertical="top" wrapText="1"/>
    </xf>
    <xf numFmtId="0" fontId="8" fillId="0" borderId="84" xfId="1" applyFont="1" applyFill="1" applyBorder="1" applyAlignment="1">
      <alignment horizontal="left" vertical="top" wrapText="1"/>
    </xf>
    <xf numFmtId="0" fontId="8" fillId="0" borderId="36" xfId="1" applyFont="1" applyFill="1" applyBorder="1" applyAlignment="1">
      <alignment horizontal="left" vertical="top" wrapText="1"/>
    </xf>
    <xf numFmtId="0" fontId="8" fillId="0" borderId="85" xfId="1" applyFont="1" applyFill="1" applyBorder="1" applyAlignment="1">
      <alignment horizontal="left" vertical="top" wrapText="1"/>
    </xf>
    <xf numFmtId="0" fontId="8" fillId="0" borderId="77" xfId="1" applyFont="1" applyFill="1" applyBorder="1" applyAlignment="1">
      <alignment horizontal="left" vertical="top" wrapText="1"/>
    </xf>
    <xf numFmtId="0" fontId="8" fillId="0" borderId="22" xfId="1" applyFont="1" applyFill="1" applyBorder="1" applyAlignment="1">
      <alignment horizontal="left" vertical="top" wrapText="1"/>
    </xf>
    <xf numFmtId="0" fontId="8" fillId="0" borderId="64" xfId="1" applyFont="1" applyFill="1" applyBorder="1" applyAlignment="1">
      <alignment horizontal="left" vertical="top" wrapText="1"/>
    </xf>
    <xf numFmtId="0" fontId="8" fillId="0" borderId="79" xfId="1" applyFont="1" applyFill="1" applyBorder="1" applyAlignment="1">
      <alignment horizontal="left" vertical="top" wrapText="1"/>
    </xf>
    <xf numFmtId="0" fontId="8" fillId="0" borderId="19" xfId="1" applyFont="1" applyFill="1" applyBorder="1" applyAlignment="1">
      <alignment horizontal="left" vertical="top" wrapText="1"/>
    </xf>
    <xf numFmtId="0" fontId="8" fillId="0" borderId="81" xfId="1" applyNumberFormat="1" applyFont="1" applyFill="1" applyBorder="1" applyAlignment="1" applyProtection="1">
      <alignment horizontal="center" vertical="top" wrapText="1"/>
    </xf>
    <xf numFmtId="0" fontId="8" fillId="0" borderId="82" xfId="1" applyNumberFormat="1" applyFont="1" applyFill="1" applyBorder="1" applyAlignment="1" applyProtection="1">
      <alignment horizontal="center" vertical="top" wrapText="1"/>
    </xf>
    <xf numFmtId="0" fontId="12" fillId="0" borderId="60" xfId="1" applyFont="1" applyFill="1" applyBorder="1" applyAlignment="1">
      <alignment horizontal="center" vertical="center" wrapText="1"/>
    </xf>
    <xf numFmtId="0" fontId="12" fillId="0" borderId="61" xfId="1" applyFont="1" applyFill="1" applyBorder="1" applyAlignment="1">
      <alignment horizontal="center" vertical="center" wrapText="1"/>
    </xf>
    <xf numFmtId="0" fontId="8" fillId="0" borderId="62" xfId="1" applyFont="1" applyFill="1" applyBorder="1" applyAlignment="1">
      <alignment horizontal="left" vertical="top" wrapText="1"/>
    </xf>
    <xf numFmtId="0" fontId="8" fillId="0" borderId="63" xfId="1" applyFont="1" applyFill="1" applyBorder="1" applyAlignment="1">
      <alignment horizontal="left" vertical="top" wrapText="1"/>
    </xf>
    <xf numFmtId="0" fontId="8" fillId="0" borderId="58" xfId="1" applyFont="1" applyFill="1" applyBorder="1" applyAlignment="1">
      <alignment horizontal="left" vertical="top" wrapText="1"/>
    </xf>
    <xf numFmtId="0" fontId="8" fillId="0" borderId="57" xfId="1" applyFont="1" applyFill="1" applyBorder="1" applyAlignment="1">
      <alignment horizontal="left" vertical="top" wrapText="1"/>
    </xf>
    <xf numFmtId="0" fontId="8" fillId="0" borderId="59" xfId="1" applyFont="1" applyFill="1" applyBorder="1" applyAlignment="1">
      <alignment horizontal="left" vertical="top" wrapText="1"/>
    </xf>
    <xf numFmtId="0" fontId="23" fillId="0" borderId="33" xfId="1" applyFont="1" applyBorder="1" applyAlignment="1">
      <alignment horizontal="center" vertical="center" wrapText="1"/>
    </xf>
    <xf numFmtId="0" fontId="23" fillId="0" borderId="32" xfId="1" applyFont="1" applyBorder="1" applyAlignment="1">
      <alignment horizontal="center" vertical="center" wrapText="1"/>
    </xf>
    <xf numFmtId="0" fontId="13" fillId="0" borderId="35" xfId="1" applyFont="1" applyBorder="1" applyAlignment="1">
      <alignment horizontal="center" vertical="center" wrapText="1"/>
    </xf>
    <xf numFmtId="0" fontId="13" fillId="0" borderId="31" xfId="1" applyFont="1" applyBorder="1" applyAlignment="1">
      <alignment horizontal="center" vertical="center" wrapText="1"/>
    </xf>
    <xf numFmtId="0" fontId="13" fillId="0" borderId="32" xfId="1" applyFont="1" applyBorder="1" applyAlignment="1">
      <alignment horizontal="center" vertical="center" wrapText="1"/>
    </xf>
    <xf numFmtId="0" fontId="24" fillId="0" borderId="7" xfId="1" applyNumberFormat="1" applyFont="1" applyFill="1" applyBorder="1" applyAlignment="1">
      <alignment horizontal="center"/>
    </xf>
    <xf numFmtId="0" fontId="24" fillId="0" borderId="0" xfId="1" applyNumberFormat="1" applyFont="1" applyFill="1" applyBorder="1" applyAlignment="1">
      <alignment horizontal="center"/>
    </xf>
    <xf numFmtId="0" fontId="24" fillId="0" borderId="6" xfId="1" applyNumberFormat="1" applyFont="1" applyFill="1" applyBorder="1" applyAlignment="1">
      <alignment horizontal="center"/>
    </xf>
    <xf numFmtId="176" fontId="12" fillId="0" borderId="33" xfId="1" applyNumberFormat="1" applyFont="1" applyFill="1" applyBorder="1" applyAlignment="1">
      <alignment horizontal="center" vertical="center" wrapText="1"/>
    </xf>
    <xf numFmtId="176" fontId="12" fillId="0" borderId="34" xfId="1" applyNumberFormat="1" applyFont="1" applyFill="1" applyBorder="1" applyAlignment="1">
      <alignment horizontal="center" vertical="center" wrapText="1"/>
    </xf>
    <xf numFmtId="0" fontId="12" fillId="0" borderId="73" xfId="0" applyFont="1" applyFill="1" applyBorder="1" applyAlignment="1">
      <alignment horizontal="left" vertical="center" wrapText="1"/>
    </xf>
    <xf numFmtId="0" fontId="12" fillId="0" borderId="74" xfId="0" applyFont="1" applyFill="1" applyBorder="1" applyAlignment="1">
      <alignment horizontal="left" vertical="center" wrapText="1"/>
    </xf>
    <xf numFmtId="0" fontId="12" fillId="0" borderId="75" xfId="0" applyFont="1" applyFill="1" applyBorder="1" applyAlignment="1">
      <alignment horizontal="left" vertical="center" wrapText="1"/>
    </xf>
    <xf numFmtId="0" fontId="8" fillId="0" borderId="76" xfId="1" applyFont="1" applyFill="1" applyBorder="1" applyAlignment="1">
      <alignment horizontal="left" vertical="top" wrapText="1"/>
    </xf>
    <xf numFmtId="0" fontId="8" fillId="0" borderId="56" xfId="1" applyFont="1" applyFill="1" applyBorder="1" applyAlignment="1">
      <alignment horizontal="left" vertical="top" wrapText="1"/>
    </xf>
    <xf numFmtId="0" fontId="8" fillId="0" borderId="35" xfId="1" applyFont="1" applyFill="1" applyBorder="1" applyAlignment="1">
      <alignment horizontal="left" vertical="top" wrapText="1"/>
    </xf>
    <xf numFmtId="0" fontId="8" fillId="0" borderId="34" xfId="1" applyFont="1" applyFill="1" applyBorder="1" applyAlignment="1">
      <alignment horizontal="left" vertical="top" wrapText="1"/>
    </xf>
    <xf numFmtId="0" fontId="8" fillId="0" borderId="32" xfId="1" applyFont="1" applyFill="1" applyBorder="1" applyAlignment="1">
      <alignment horizontal="left" vertical="top" wrapText="1"/>
    </xf>
    <xf numFmtId="0" fontId="8" fillId="0" borderId="33" xfId="1" applyFont="1" applyFill="1" applyBorder="1" applyAlignment="1">
      <alignment horizontal="left" vertical="top" wrapText="1"/>
    </xf>
    <xf numFmtId="0" fontId="16" fillId="0" borderId="35" xfId="0" applyFont="1" applyBorder="1" applyAlignment="1">
      <alignment horizontal="left" vertical="center" wrapText="1"/>
    </xf>
    <xf numFmtId="0" fontId="16" fillId="0" borderId="31" xfId="0" applyFont="1" applyBorder="1" applyAlignment="1">
      <alignment horizontal="left" vertical="center" wrapText="1"/>
    </xf>
    <xf numFmtId="0" fontId="16" fillId="0" borderId="34" xfId="0" applyFont="1" applyBorder="1" applyAlignment="1">
      <alignment horizontal="left" vertical="center" wrapText="1"/>
    </xf>
    <xf numFmtId="0" fontId="8" fillId="0" borderId="71" xfId="1" applyFont="1" applyFill="1" applyBorder="1" applyAlignment="1">
      <alignment horizontal="left" vertical="top" wrapText="1"/>
    </xf>
    <xf numFmtId="0" fontId="8" fillId="0" borderId="70" xfId="1" applyFont="1" applyFill="1" applyBorder="1" applyAlignment="1">
      <alignment horizontal="left" vertical="top" wrapText="1"/>
    </xf>
    <xf numFmtId="0" fontId="8" fillId="0" borderId="72" xfId="1" applyFont="1" applyFill="1" applyBorder="1" applyAlignment="1">
      <alignment horizontal="left" vertical="top" wrapText="1"/>
    </xf>
    <xf numFmtId="0" fontId="8" fillId="0" borderId="69" xfId="1" applyFont="1" applyFill="1" applyBorder="1" applyAlignment="1">
      <alignment horizontal="left" vertical="top" wrapText="1"/>
    </xf>
    <xf numFmtId="0" fontId="19" fillId="0" borderId="22" xfId="1" applyFont="1" applyFill="1" applyBorder="1" applyAlignment="1">
      <alignment horizontal="left" vertical="top" wrapText="1"/>
    </xf>
    <xf numFmtId="0" fontId="19" fillId="0" borderId="65" xfId="1" applyFont="1" applyFill="1" applyBorder="1" applyAlignment="1">
      <alignment horizontal="left" vertical="top" wrapText="1"/>
    </xf>
    <xf numFmtId="0" fontId="19" fillId="0" borderId="66" xfId="1" applyFont="1" applyFill="1" applyBorder="1" applyAlignment="1">
      <alignment horizontal="left" vertical="top" wrapText="1"/>
    </xf>
    <xf numFmtId="0" fontId="19" fillId="0" borderId="63" xfId="1" applyFont="1" applyFill="1" applyBorder="1" applyAlignment="1">
      <alignment horizontal="left" vertical="top" wrapText="1"/>
    </xf>
    <xf numFmtId="0" fontId="19" fillId="0" borderId="64" xfId="1" applyFont="1" applyFill="1" applyBorder="1" applyAlignment="1">
      <alignment horizontal="left" vertical="top" wrapText="1"/>
    </xf>
    <xf numFmtId="0" fontId="19" fillId="0" borderId="62" xfId="1" applyFont="1" applyFill="1" applyBorder="1" applyAlignment="1">
      <alignment horizontal="left" vertical="top" wrapText="1"/>
    </xf>
    <xf numFmtId="0" fontId="19" fillId="0" borderId="21" xfId="1" applyFont="1" applyFill="1" applyBorder="1" applyAlignment="1">
      <alignment horizontal="left" vertical="top" wrapText="1"/>
    </xf>
    <xf numFmtId="0" fontId="13" fillId="0" borderId="33" xfId="1" applyFont="1" applyBorder="1" applyAlignment="1">
      <alignment horizontal="center" vertical="center" wrapText="1"/>
    </xf>
    <xf numFmtId="0" fontId="12" fillId="0" borderId="47" xfId="0" applyFont="1" applyFill="1" applyBorder="1" applyAlignment="1">
      <alignment horizontal="left" vertical="center" wrapText="1"/>
    </xf>
    <xf numFmtId="0" fontId="12" fillId="0" borderId="48" xfId="0" applyFont="1" applyFill="1" applyBorder="1" applyAlignment="1">
      <alignment horizontal="left" vertical="center" wrapText="1"/>
    </xf>
    <xf numFmtId="0" fontId="12" fillId="0" borderId="55" xfId="0" applyFont="1" applyFill="1" applyBorder="1" applyAlignment="1">
      <alignment horizontal="left" vertical="center" wrapText="1"/>
    </xf>
    <xf numFmtId="0" fontId="12" fillId="0" borderId="35" xfId="0" applyFont="1" applyFill="1" applyBorder="1" applyAlignment="1">
      <alignment horizontal="left" vertical="center" wrapText="1"/>
    </xf>
    <xf numFmtId="0" fontId="12" fillId="0" borderId="31" xfId="0" applyFont="1" applyFill="1" applyBorder="1" applyAlignment="1">
      <alignment horizontal="left" vertical="center" wrapText="1"/>
    </xf>
    <xf numFmtId="0" fontId="11" fillId="0" borderId="52" xfId="1" applyFont="1" applyBorder="1" applyAlignment="1">
      <alignment horizontal="center" vertical="center" wrapText="1"/>
    </xf>
    <xf numFmtId="0" fontId="11" fillId="0" borderId="51" xfId="1" applyFont="1" applyBorder="1" applyAlignment="1">
      <alignment horizontal="center" vertical="center" wrapText="1"/>
    </xf>
    <xf numFmtId="0" fontId="9" fillId="0" borderId="53" xfId="1" applyFont="1" applyBorder="1" applyAlignment="1">
      <alignment horizontal="center" vertical="center" wrapText="1"/>
    </xf>
    <xf numFmtId="0" fontId="9" fillId="0" borderId="54" xfId="1" applyFont="1" applyBorder="1" applyAlignment="1">
      <alignment horizontal="center" vertical="center" wrapText="1"/>
    </xf>
    <xf numFmtId="0" fontId="8" fillId="0" borderId="35" xfId="1" applyFont="1" applyBorder="1" applyAlignment="1">
      <alignment horizontal="left" vertical="top" wrapText="1"/>
    </xf>
    <xf numFmtId="0" fontId="8" fillId="0" borderId="34" xfId="1" applyFont="1" applyBorder="1" applyAlignment="1">
      <alignment horizontal="left" vertical="top" wrapText="1"/>
    </xf>
    <xf numFmtId="0" fontId="8" fillId="0" borderId="33" xfId="1" applyFont="1" applyBorder="1" applyAlignment="1">
      <alignment horizontal="left" vertical="top" wrapText="1"/>
    </xf>
    <xf numFmtId="0" fontId="11" fillId="0" borderId="50" xfId="1" applyFont="1" applyBorder="1" applyAlignment="1">
      <alignment horizontal="center" vertical="center" wrapText="1"/>
    </xf>
    <xf numFmtId="0" fontId="20" fillId="0" borderId="40" xfId="1" applyFont="1" applyBorder="1" applyAlignment="1">
      <alignment horizontal="center" vertical="center" wrapText="1"/>
    </xf>
    <xf numFmtId="0" fontId="20" fillId="0" borderId="41" xfId="1" applyFont="1" applyBorder="1" applyAlignment="1">
      <alignment horizontal="center" vertical="center" wrapText="1"/>
    </xf>
    <xf numFmtId="0" fontId="20" fillId="0" borderId="42" xfId="1" applyFont="1" applyBorder="1" applyAlignment="1">
      <alignment horizontal="center" vertical="center" wrapText="1"/>
    </xf>
    <xf numFmtId="0" fontId="20" fillId="0" borderId="43" xfId="1" applyFont="1" applyBorder="1" applyAlignment="1">
      <alignment horizontal="center" vertical="center" wrapText="1"/>
    </xf>
    <xf numFmtId="0" fontId="20" fillId="0" borderId="44" xfId="1" applyFont="1" applyBorder="1" applyAlignment="1">
      <alignment horizontal="center" vertical="center" wrapText="1"/>
    </xf>
    <xf numFmtId="0" fontId="20" fillId="0" borderId="45" xfId="1" applyFont="1" applyBorder="1" applyAlignment="1">
      <alignment horizontal="center" vertical="center" wrapText="1"/>
    </xf>
    <xf numFmtId="0" fontId="20" fillId="0" borderId="46" xfId="1" applyFont="1" applyBorder="1" applyAlignment="1">
      <alignment horizontal="center" vertical="center" wrapText="1"/>
    </xf>
    <xf numFmtId="0" fontId="20" fillId="0" borderId="36" xfId="1" applyFont="1" applyBorder="1" applyAlignment="1">
      <alignment horizontal="center" vertical="center" wrapText="1"/>
    </xf>
    <xf numFmtId="0" fontId="11" fillId="0" borderId="47" xfId="1" applyFont="1" applyBorder="1" applyAlignment="1">
      <alignment horizontal="center" vertical="center" wrapText="1"/>
    </xf>
    <xf numFmtId="0" fontId="11" fillId="0" borderId="48" xfId="1" applyFont="1" applyBorder="1" applyAlignment="1">
      <alignment horizontal="center" vertical="center" wrapText="1"/>
    </xf>
    <xf numFmtId="0" fontId="11" fillId="0" borderId="49" xfId="1" applyFont="1" applyBorder="1" applyAlignment="1">
      <alignment horizontal="center" vertical="center" wrapText="1"/>
    </xf>
    <xf numFmtId="0" fontId="21" fillId="0" borderId="40" xfId="1" applyFont="1" applyBorder="1" applyAlignment="1">
      <alignment horizontal="center" vertical="center" wrapText="1"/>
    </xf>
    <xf numFmtId="0" fontId="21" fillId="0" borderId="46" xfId="1" applyFont="1" applyBorder="1" applyAlignment="1">
      <alignment horizontal="center" vertical="center" wrapText="1"/>
    </xf>
    <xf numFmtId="0" fontId="21" fillId="0" borderId="41" xfId="1" applyFont="1" applyBorder="1" applyAlignment="1">
      <alignment horizontal="center" vertical="center" wrapText="1"/>
    </xf>
    <xf numFmtId="0" fontId="21" fillId="0" borderId="44" xfId="1" applyFont="1" applyBorder="1" applyAlignment="1">
      <alignment horizontal="center" vertical="center" wrapText="1"/>
    </xf>
    <xf numFmtId="0" fontId="21" fillId="0" borderId="36" xfId="1" applyFont="1" applyBorder="1" applyAlignment="1">
      <alignment horizontal="center" vertical="center" wrapText="1"/>
    </xf>
    <xf numFmtId="0" fontId="21" fillId="0" borderId="45" xfId="1" applyFont="1" applyBorder="1" applyAlignment="1">
      <alignment horizontal="center" vertical="center" wrapText="1"/>
    </xf>
    <xf numFmtId="0" fontId="9" fillId="0" borderId="40" xfId="1" applyFont="1" applyBorder="1" applyAlignment="1">
      <alignment horizontal="center" vertical="center" wrapText="1"/>
    </xf>
    <xf numFmtId="0" fontId="9" fillId="0" borderId="46" xfId="1" applyFont="1" applyBorder="1" applyAlignment="1">
      <alignment horizontal="center" vertical="center" wrapText="1"/>
    </xf>
    <xf numFmtId="0" fontId="9" fillId="0" borderId="41" xfId="1" applyFont="1" applyBorder="1" applyAlignment="1">
      <alignment horizontal="center" vertical="center" wrapText="1"/>
    </xf>
    <xf numFmtId="0" fontId="9" fillId="0" borderId="43" xfId="1" applyFont="1" applyBorder="1" applyAlignment="1">
      <alignment horizontal="center" vertical="center" wrapText="1"/>
    </xf>
    <xf numFmtId="0" fontId="9" fillId="0" borderId="45" xfId="1" applyFont="1" applyBorder="1" applyAlignment="1">
      <alignment horizontal="center" vertical="center" wrapText="1"/>
    </xf>
    <xf numFmtId="0" fontId="22" fillId="6" borderId="7" xfId="1" applyNumberFormat="1" applyFont="1" applyFill="1" applyBorder="1" applyAlignment="1">
      <alignment horizontal="center"/>
    </xf>
    <xf numFmtId="0" fontId="22" fillId="6" borderId="0" xfId="1" applyNumberFormat="1" applyFont="1" applyFill="1" applyBorder="1" applyAlignment="1">
      <alignment horizontal="center"/>
    </xf>
    <xf numFmtId="0" fontId="22" fillId="6" borderId="6" xfId="1" applyNumberFormat="1" applyFont="1" applyFill="1" applyBorder="1" applyAlignment="1">
      <alignment horizontal="center"/>
    </xf>
    <xf numFmtId="0" fontId="19" fillId="0" borderId="35" xfId="1" applyFont="1" applyBorder="1" applyAlignment="1">
      <alignment horizontal="center" vertical="center" wrapText="1"/>
    </xf>
    <xf numFmtId="0" fontId="19" fillId="0" borderId="31" xfId="1" applyFont="1" applyBorder="1" applyAlignment="1">
      <alignment horizontal="center" vertical="center" wrapText="1"/>
    </xf>
    <xf numFmtId="0" fontId="19" fillId="0" borderId="34" xfId="1" applyFont="1" applyBorder="1" applyAlignment="1">
      <alignment horizontal="center" vertical="center" wrapText="1"/>
    </xf>
    <xf numFmtId="0" fontId="11" fillId="0" borderId="0" xfId="1" applyNumberFormat="1" applyFont="1" applyFill="1" applyBorder="1" applyAlignment="1" applyProtection="1">
      <alignment horizontal="right" vertical="center" wrapText="1"/>
    </xf>
    <xf numFmtId="0" fontId="10" fillId="0" borderId="37" xfId="1" applyNumberFormat="1" applyFont="1" applyFill="1" applyBorder="1" applyAlignment="1">
      <alignment horizontal="center"/>
    </xf>
    <xf numFmtId="0" fontId="10" fillId="0" borderId="38" xfId="1" applyNumberFormat="1" applyFont="1" applyFill="1" applyBorder="1" applyAlignment="1">
      <alignment horizontal="center"/>
    </xf>
    <xf numFmtId="0" fontId="10" fillId="0" borderId="39" xfId="1" applyNumberFormat="1" applyFont="1" applyFill="1" applyBorder="1" applyAlignment="1">
      <alignment horizontal="center"/>
    </xf>
    <xf numFmtId="0" fontId="17" fillId="0" borderId="0" xfId="1" applyNumberFormat="1" applyFont="1" applyFill="1" applyBorder="1" applyAlignment="1" applyProtection="1">
      <alignment horizontal="center" vertical="top" wrapText="1"/>
    </xf>
    <xf numFmtId="0" fontId="18" fillId="0" borderId="0" xfId="1" applyNumberFormat="1" applyFont="1" applyFill="1" applyBorder="1" applyAlignment="1" applyProtection="1">
      <alignment horizontal="center" vertical="top" wrapText="1"/>
    </xf>
    <xf numFmtId="0" fontId="8" fillId="0" borderId="29" xfId="1" applyNumberFormat="1" applyFont="1" applyFill="1" applyBorder="1" applyAlignment="1" applyProtection="1">
      <alignment horizontal="center" vertical="top" wrapText="1"/>
    </xf>
    <xf numFmtId="0" fontId="8" fillId="0" borderId="63" xfId="1" applyNumberFormat="1" applyFont="1" applyFill="1" applyBorder="1" applyAlignment="1" applyProtection="1">
      <alignment horizontal="center" vertical="top" wrapText="1"/>
    </xf>
    <xf numFmtId="0" fontId="14" fillId="0" borderId="33" xfId="1" applyFont="1" applyFill="1" applyBorder="1" applyAlignment="1">
      <alignment horizontal="left" vertical="top" wrapText="1"/>
    </xf>
    <xf numFmtId="0" fontId="14" fillId="0" borderId="35" xfId="1" applyFont="1" applyFill="1" applyBorder="1" applyAlignment="1">
      <alignment horizontal="left" vertical="top" wrapText="1"/>
    </xf>
    <xf numFmtId="0" fontId="12" fillId="0" borderId="101" xfId="0" applyFont="1" applyFill="1" applyBorder="1" applyAlignment="1">
      <alignment horizontal="left" vertical="center" wrapText="1"/>
    </xf>
    <xf numFmtId="0" fontId="12" fillId="0" borderId="102" xfId="0" applyFont="1" applyFill="1" applyBorder="1" applyAlignment="1">
      <alignment horizontal="left" vertical="center" wrapText="1"/>
    </xf>
    <xf numFmtId="0" fontId="12" fillId="0" borderId="54" xfId="0" applyFont="1" applyFill="1" applyBorder="1" applyAlignment="1">
      <alignment horizontal="left" vertical="center" wrapText="1"/>
    </xf>
    <xf numFmtId="0" fontId="28" fillId="0" borderId="0" xfId="1" applyFont="1" applyBorder="1" applyAlignment="1">
      <alignment horizontal="center" wrapText="1"/>
    </xf>
  </cellXfs>
  <cellStyles count="2">
    <cellStyle name="Normal" xfId="0" builtinId="0"/>
    <cellStyle name="Normal 2" xfId="1" xr:uid="{4A3D0F4C-B926-446A-937D-5D1E877CC7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1BE5A-17FD-407A-A91F-529EF2ADA9F6}">
  <sheetPr>
    <tabColor theme="1"/>
  </sheetPr>
  <dimension ref="A1:AY83"/>
  <sheetViews>
    <sheetView zoomScaleNormal="100" workbookViewId="0">
      <selection activeCell="AV58" sqref="AV58"/>
    </sheetView>
  </sheetViews>
  <sheetFormatPr defaultColWidth="8.7109375" defaultRowHeight="12.75"/>
  <cols>
    <col min="1" max="1" width="1.7109375" style="36" bestFit="1" customWidth="1"/>
    <col min="2" max="2" width="1.28515625" style="36" bestFit="1" customWidth="1"/>
    <col min="3" max="3" width="14.140625" style="36" bestFit="1" customWidth="1"/>
    <col min="4" max="4" width="8.7109375" style="36" bestFit="1" customWidth="1"/>
    <col min="5" max="5" width="0.28515625" style="36" bestFit="1" customWidth="1"/>
    <col min="6" max="6" width="0.7109375" style="36" bestFit="1" customWidth="1"/>
    <col min="7" max="7" width="2" style="36" bestFit="1" customWidth="1"/>
    <col min="8" max="8" width="3.28515625" style="36" customWidth="1"/>
    <col min="9" max="10" width="3.42578125" style="36" customWidth="1"/>
    <col min="11" max="11" width="3.28515625" style="36" customWidth="1"/>
    <col min="12" max="12" width="2.5703125" style="36" bestFit="1" customWidth="1"/>
    <col min="13" max="13" width="0.28515625" style="36" bestFit="1" customWidth="1"/>
    <col min="14" max="14" width="3.28515625" style="36" customWidth="1"/>
    <col min="15" max="15" width="3.42578125" style="36" customWidth="1"/>
    <col min="16" max="16" width="3.28515625" style="36" customWidth="1"/>
    <col min="17" max="17" width="3.42578125" style="36" customWidth="1"/>
    <col min="18" max="18" width="0.7109375" style="36" bestFit="1" customWidth="1"/>
    <col min="19" max="19" width="2" style="36" bestFit="1" customWidth="1"/>
    <col min="20" max="21" width="3.42578125" style="36" customWidth="1"/>
    <col min="22" max="22" width="0.7109375" style="36" bestFit="1" customWidth="1"/>
    <col min="23" max="23" width="2.28515625" style="36" bestFit="1" customWidth="1"/>
    <col min="24" max="24" width="1.28515625" style="36" bestFit="1" customWidth="1"/>
    <col min="25" max="26" width="1.7109375" style="36" bestFit="1" customWidth="1"/>
    <col min="27" max="27" width="1.28515625" style="36" bestFit="1" customWidth="1"/>
    <col min="28" max="28" width="3.140625" style="36" customWidth="1"/>
    <col min="29" max="29" width="2.85546875" style="36" customWidth="1"/>
    <col min="30" max="30" width="3" style="36" customWidth="1"/>
    <col min="31" max="31" width="3.28515625" style="36" bestFit="1" customWidth="1"/>
    <col min="32" max="32" width="3.42578125" style="36" customWidth="1"/>
    <col min="33" max="33" width="2.7109375" style="36" bestFit="1" customWidth="1"/>
    <col min="34" max="34" width="0.28515625" style="36" bestFit="1" customWidth="1"/>
    <col min="35" max="35" width="3.28515625" style="36" customWidth="1"/>
    <col min="36" max="36" width="3.42578125" style="36" customWidth="1"/>
    <col min="37" max="37" width="1.28515625" style="36" bestFit="1" customWidth="1"/>
    <col min="38" max="39" width="1.7109375" style="36" bestFit="1" customWidth="1"/>
    <col min="40" max="40" width="4.7109375" style="36" customWidth="1"/>
    <col min="41" max="41" width="5" style="36" bestFit="1" customWidth="1"/>
    <col min="42" max="42" width="1.42578125" style="36" customWidth="1"/>
    <col min="43" max="43" width="9.140625" style="36" customWidth="1"/>
    <col min="44" max="44" width="4.5703125" style="36" customWidth="1"/>
    <col min="45" max="45" width="5" style="36" customWidth="1"/>
    <col min="46" max="46" width="5.42578125" style="36" customWidth="1"/>
    <col min="47" max="47" width="0.28515625" style="36" customWidth="1"/>
    <col min="48" max="16384" width="8.7109375" style="36"/>
  </cols>
  <sheetData>
    <row r="1" spans="1:51" ht="30" customHeight="1">
      <c r="A1" s="291" t="s">
        <v>0</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row>
    <row r="2" spans="1:51" ht="19.899999999999999" customHeight="1">
      <c r="A2" s="292" t="s">
        <v>1</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row>
    <row r="3" spans="1:51" ht="19.899999999999999" customHeight="1" thickBot="1">
      <c r="A3" s="287" t="s">
        <v>2</v>
      </c>
      <c r="B3" s="72"/>
      <c r="C3" s="72"/>
      <c r="D3" s="72"/>
      <c r="E3" s="1"/>
      <c r="F3" s="284">
        <v>132839</v>
      </c>
      <c r="G3" s="285"/>
      <c r="H3" s="285"/>
      <c r="I3" s="286"/>
      <c r="J3" s="287" t="s">
        <v>3</v>
      </c>
      <c r="K3" s="72"/>
      <c r="L3" s="72"/>
      <c r="M3" s="284" t="s">
        <v>79</v>
      </c>
      <c r="N3" s="285"/>
      <c r="O3" s="285"/>
      <c r="P3" s="285"/>
      <c r="Q3" s="285"/>
      <c r="R3" s="286"/>
      <c r="S3" s="287" t="s">
        <v>4</v>
      </c>
      <c r="T3" s="72"/>
      <c r="U3" s="72"/>
      <c r="V3" s="72"/>
      <c r="W3" s="72"/>
      <c r="X3" s="72"/>
      <c r="Y3" s="72"/>
      <c r="Z3" s="72"/>
      <c r="AA3" s="284" t="s">
        <v>77</v>
      </c>
      <c r="AB3" s="285"/>
      <c r="AC3" s="285"/>
      <c r="AD3" s="285"/>
      <c r="AE3" s="285"/>
      <c r="AF3" s="285"/>
      <c r="AG3" s="286"/>
      <c r="AH3" s="1"/>
      <c r="AI3" s="1"/>
      <c r="AJ3" s="1"/>
      <c r="AK3" s="1"/>
      <c r="AL3" s="1"/>
      <c r="AM3" s="1"/>
      <c r="AN3" s="1"/>
      <c r="AO3" s="1"/>
      <c r="AP3" s="1"/>
      <c r="AQ3" s="1"/>
      <c r="AR3" s="1"/>
      <c r="AS3" s="1"/>
      <c r="AT3" s="1"/>
      <c r="AU3" s="1"/>
    </row>
    <row r="4" spans="1:51" ht="19.899999999999999" customHeight="1" thickBot="1">
      <c r="A4" s="287" t="s">
        <v>6</v>
      </c>
      <c r="B4" s="72"/>
      <c r="C4" s="72"/>
      <c r="D4" s="72"/>
      <c r="E4" s="1"/>
      <c r="F4" s="284" t="s">
        <v>123</v>
      </c>
      <c r="G4" s="285"/>
      <c r="H4" s="285"/>
      <c r="I4" s="285"/>
      <c r="J4" s="285"/>
      <c r="K4" s="285"/>
      <c r="L4" s="285"/>
      <c r="M4" s="285"/>
      <c r="N4" s="285"/>
      <c r="O4" s="285"/>
      <c r="P4" s="285"/>
      <c r="Q4" s="285"/>
      <c r="R4" s="286"/>
      <c r="S4" s="287" t="s">
        <v>7</v>
      </c>
      <c r="T4" s="72"/>
      <c r="U4" s="72"/>
      <c r="V4" s="72"/>
      <c r="W4" s="72"/>
      <c r="X4" s="72"/>
      <c r="Y4" s="72"/>
      <c r="Z4" s="72"/>
      <c r="AA4" s="284" t="s">
        <v>124</v>
      </c>
      <c r="AB4" s="285"/>
      <c r="AC4" s="285"/>
      <c r="AD4" s="285"/>
      <c r="AE4" s="285"/>
      <c r="AF4" s="285"/>
      <c r="AG4" s="286"/>
      <c r="AH4" s="1"/>
      <c r="AI4" s="287" t="s">
        <v>8</v>
      </c>
      <c r="AJ4" s="72"/>
      <c r="AK4" s="72"/>
      <c r="AL4" s="72"/>
      <c r="AM4" s="284" t="s">
        <v>129</v>
      </c>
      <c r="AN4" s="285"/>
      <c r="AO4" s="285"/>
      <c r="AP4" s="285"/>
      <c r="AQ4" s="285"/>
      <c r="AR4" s="285"/>
      <c r="AS4" s="285"/>
      <c r="AT4" s="285"/>
      <c r="AU4" s="286"/>
      <c r="AW4" s="288" t="s">
        <v>73</v>
      </c>
      <c r="AX4" s="289"/>
      <c r="AY4" s="290"/>
    </row>
    <row r="5" spans="1:51" ht="10.15" customHeight="1">
      <c r="A5" s="259" t="s">
        <v>9</v>
      </c>
      <c r="B5" s="260"/>
      <c r="C5" s="259" t="s">
        <v>10</v>
      </c>
      <c r="D5" s="265"/>
      <c r="E5" s="260"/>
      <c r="F5" s="267" t="s">
        <v>11</v>
      </c>
      <c r="G5" s="268"/>
      <c r="H5" s="268"/>
      <c r="I5" s="268"/>
      <c r="J5" s="268"/>
      <c r="K5" s="268"/>
      <c r="L5" s="268"/>
      <c r="M5" s="268"/>
      <c r="N5" s="268"/>
      <c r="O5" s="268"/>
      <c r="P5" s="268"/>
      <c r="Q5" s="268"/>
      <c r="R5" s="268"/>
      <c r="S5" s="268"/>
      <c r="T5" s="268"/>
      <c r="U5" s="268"/>
      <c r="V5" s="268"/>
      <c r="W5" s="268"/>
      <c r="X5" s="268"/>
      <c r="Y5" s="268"/>
      <c r="Z5" s="268"/>
      <c r="AA5" s="268"/>
      <c r="AB5" s="268"/>
      <c r="AC5" s="268"/>
      <c r="AD5" s="268"/>
      <c r="AE5" s="268"/>
      <c r="AF5" s="268"/>
      <c r="AG5" s="268"/>
      <c r="AH5" s="268"/>
      <c r="AI5" s="268"/>
      <c r="AJ5" s="268"/>
      <c r="AK5" s="268"/>
      <c r="AL5" s="269"/>
      <c r="AM5" s="270" t="s">
        <v>12</v>
      </c>
      <c r="AN5" s="271"/>
      <c r="AO5" s="271"/>
      <c r="AP5" s="272"/>
      <c r="AQ5" s="276" t="s">
        <v>13</v>
      </c>
      <c r="AR5" s="277"/>
      <c r="AS5" s="277"/>
      <c r="AT5" s="277"/>
      <c r="AU5" s="278"/>
      <c r="AW5" s="281">
        <v>11</v>
      </c>
      <c r="AX5" s="282"/>
      <c r="AY5" s="283"/>
    </row>
    <row r="6" spans="1:51" ht="15" customHeight="1" thickBot="1">
      <c r="A6" s="261"/>
      <c r="B6" s="262"/>
      <c r="C6" s="261"/>
      <c r="D6" s="72"/>
      <c r="E6" s="262"/>
      <c r="F6" s="257">
        <v>2</v>
      </c>
      <c r="G6" s="256"/>
      <c r="H6" s="9">
        <v>3</v>
      </c>
      <c r="I6" s="9">
        <v>4</v>
      </c>
      <c r="J6" s="9">
        <v>5</v>
      </c>
      <c r="K6" s="9">
        <v>6</v>
      </c>
      <c r="L6" s="257">
        <v>9</v>
      </c>
      <c r="M6" s="256"/>
      <c r="N6" s="9">
        <v>10</v>
      </c>
      <c r="O6" s="9">
        <v>11</v>
      </c>
      <c r="P6" s="9">
        <v>12</v>
      </c>
      <c r="Q6" s="9">
        <v>13</v>
      </c>
      <c r="R6" s="257">
        <v>16</v>
      </c>
      <c r="S6" s="256"/>
      <c r="T6" s="9">
        <v>17</v>
      </c>
      <c r="U6" s="9">
        <v>18</v>
      </c>
      <c r="V6" s="255">
        <v>19</v>
      </c>
      <c r="W6" s="256"/>
      <c r="X6" s="255">
        <v>20</v>
      </c>
      <c r="Y6" s="256"/>
      <c r="Z6" s="257">
        <v>23</v>
      </c>
      <c r="AA6" s="256"/>
      <c r="AB6" s="9">
        <v>24</v>
      </c>
      <c r="AC6" s="9">
        <v>25</v>
      </c>
      <c r="AD6" s="9">
        <v>26</v>
      </c>
      <c r="AE6" s="9">
        <v>27</v>
      </c>
      <c r="AF6" s="10">
        <v>30</v>
      </c>
      <c r="AG6" s="255"/>
      <c r="AH6" s="256"/>
      <c r="AI6" s="9"/>
      <c r="AJ6" s="9"/>
      <c r="AK6" s="255"/>
      <c r="AL6" s="256"/>
      <c r="AM6" s="273"/>
      <c r="AN6" s="274"/>
      <c r="AO6" s="274"/>
      <c r="AP6" s="275"/>
      <c r="AQ6" s="87"/>
      <c r="AR6" s="72"/>
      <c r="AS6" s="72"/>
      <c r="AT6" s="72"/>
      <c r="AU6" s="279"/>
      <c r="AW6" s="281"/>
      <c r="AX6" s="282"/>
      <c r="AY6" s="283"/>
    </row>
    <row r="7" spans="1:51" ht="15" customHeight="1" thickBot="1">
      <c r="A7" s="263"/>
      <c r="B7" s="264"/>
      <c r="C7" s="263"/>
      <c r="D7" s="266"/>
      <c r="E7" s="264"/>
      <c r="F7" s="258" t="s">
        <v>14</v>
      </c>
      <c r="G7" s="252"/>
      <c r="H7" s="13" t="s">
        <v>15</v>
      </c>
      <c r="I7" s="13" t="s">
        <v>16</v>
      </c>
      <c r="J7" s="13" t="s">
        <v>17</v>
      </c>
      <c r="K7" s="13" t="s">
        <v>18</v>
      </c>
      <c r="L7" s="258" t="s">
        <v>14</v>
      </c>
      <c r="M7" s="252"/>
      <c r="N7" s="13" t="s">
        <v>15</v>
      </c>
      <c r="O7" s="13" t="s">
        <v>16</v>
      </c>
      <c r="P7" s="13" t="s">
        <v>17</v>
      </c>
      <c r="Q7" s="13" t="s">
        <v>18</v>
      </c>
      <c r="R7" s="258" t="s">
        <v>14</v>
      </c>
      <c r="S7" s="252"/>
      <c r="T7" s="13" t="s">
        <v>15</v>
      </c>
      <c r="U7" s="13" t="s">
        <v>16</v>
      </c>
      <c r="V7" s="251" t="s">
        <v>17</v>
      </c>
      <c r="W7" s="252"/>
      <c r="X7" s="251" t="s">
        <v>18</v>
      </c>
      <c r="Y7" s="252"/>
      <c r="Z7" s="258" t="s">
        <v>14</v>
      </c>
      <c r="AA7" s="252"/>
      <c r="AB7" s="13" t="s">
        <v>15</v>
      </c>
      <c r="AC7" s="13" t="s">
        <v>16</v>
      </c>
      <c r="AD7" s="13" t="s">
        <v>17</v>
      </c>
      <c r="AE7" s="13" t="s">
        <v>18</v>
      </c>
      <c r="AF7" s="14" t="s">
        <v>14</v>
      </c>
      <c r="AG7" s="251" t="s">
        <v>15</v>
      </c>
      <c r="AH7" s="252"/>
      <c r="AI7" s="13" t="s">
        <v>16</v>
      </c>
      <c r="AJ7" s="13" t="s">
        <v>17</v>
      </c>
      <c r="AK7" s="251" t="s">
        <v>18</v>
      </c>
      <c r="AL7" s="252"/>
      <c r="AM7" s="253" t="s">
        <v>19</v>
      </c>
      <c r="AN7" s="254"/>
      <c r="AO7" s="253" t="s">
        <v>20</v>
      </c>
      <c r="AP7" s="254"/>
      <c r="AQ7" s="90"/>
      <c r="AR7" s="91"/>
      <c r="AS7" s="91"/>
      <c r="AT7" s="91"/>
      <c r="AU7" s="280"/>
      <c r="AW7" s="8"/>
      <c r="AY7" s="7"/>
    </row>
    <row r="8" spans="1:51" ht="19.899999999999999" customHeight="1">
      <c r="A8" s="220">
        <v>1</v>
      </c>
      <c r="B8" s="221"/>
      <c r="C8" s="231" t="s">
        <v>97</v>
      </c>
      <c r="D8" s="232"/>
      <c r="E8" s="233"/>
      <c r="F8" s="230"/>
      <c r="G8" s="228"/>
      <c r="H8" s="9"/>
      <c r="I8" s="9"/>
      <c r="J8" s="9"/>
      <c r="K8" s="11"/>
      <c r="L8" s="230"/>
      <c r="M8" s="228"/>
      <c r="N8" s="9"/>
      <c r="O8" s="9"/>
      <c r="P8" s="9"/>
      <c r="Q8" s="11"/>
      <c r="R8" s="230"/>
      <c r="S8" s="228"/>
      <c r="T8" s="9"/>
      <c r="U8" s="9" t="s">
        <v>133</v>
      </c>
      <c r="V8" s="227"/>
      <c r="W8" s="228"/>
      <c r="X8" s="227"/>
      <c r="Y8" s="229"/>
      <c r="Z8" s="230"/>
      <c r="AA8" s="228"/>
      <c r="AB8" s="9"/>
      <c r="AC8" s="9"/>
      <c r="AD8" s="9"/>
      <c r="AE8" s="11"/>
      <c r="AF8" s="10"/>
      <c r="AG8" s="227"/>
      <c r="AH8" s="228"/>
      <c r="AI8" s="9"/>
      <c r="AJ8" s="9"/>
      <c r="AK8" s="227" t="s">
        <v>5</v>
      </c>
      <c r="AL8" s="229"/>
      <c r="AM8" s="212">
        <f t="shared" ref="AM8:AM28" si="0">COUNTIF(F8:AL8,"X")</f>
        <v>1</v>
      </c>
      <c r="AN8" s="213"/>
      <c r="AO8" s="212">
        <f t="shared" ref="AO8:AO28" si="1">$AW$5-AM8</f>
        <v>10</v>
      </c>
      <c r="AP8" s="213"/>
      <c r="AQ8" s="214" t="s">
        <v>5</v>
      </c>
      <c r="AR8" s="215"/>
      <c r="AS8" s="215"/>
      <c r="AT8" s="215"/>
      <c r="AU8" s="216"/>
      <c r="AW8" s="8"/>
      <c r="AY8" s="7"/>
    </row>
    <row r="9" spans="1:51" ht="19.899999999999999" customHeight="1">
      <c r="A9" s="220">
        <v>2</v>
      </c>
      <c r="B9" s="221"/>
      <c r="C9" s="231" t="s">
        <v>99</v>
      </c>
      <c r="D9" s="232"/>
      <c r="E9" s="233"/>
      <c r="F9" s="230"/>
      <c r="G9" s="228"/>
      <c r="H9" s="9"/>
      <c r="I9" s="9"/>
      <c r="J9" s="9"/>
      <c r="K9" s="11"/>
      <c r="L9" s="230"/>
      <c r="M9" s="228"/>
      <c r="N9" s="9"/>
      <c r="O9" s="9"/>
      <c r="P9" s="9"/>
      <c r="Q9" s="11"/>
      <c r="R9" s="230"/>
      <c r="S9" s="228"/>
      <c r="T9" s="9"/>
      <c r="U9" s="9"/>
      <c r="V9" s="227"/>
      <c r="W9" s="228"/>
      <c r="X9" s="227"/>
      <c r="Y9" s="229"/>
      <c r="Z9" s="230"/>
      <c r="AA9" s="228"/>
      <c r="AB9" s="9"/>
      <c r="AC9" s="9"/>
      <c r="AD9" s="9"/>
      <c r="AE9" s="11"/>
      <c r="AF9" s="10"/>
      <c r="AG9" s="227"/>
      <c r="AH9" s="228"/>
      <c r="AI9" s="9"/>
      <c r="AJ9" s="9"/>
      <c r="AK9" s="227" t="s">
        <v>5</v>
      </c>
      <c r="AL9" s="229"/>
      <c r="AM9" s="212">
        <f t="shared" si="0"/>
        <v>0</v>
      </c>
      <c r="AN9" s="213"/>
      <c r="AO9" s="212">
        <f t="shared" si="1"/>
        <v>11</v>
      </c>
      <c r="AP9" s="213"/>
      <c r="AQ9" s="214" t="s">
        <v>5</v>
      </c>
      <c r="AR9" s="215"/>
      <c r="AS9" s="215"/>
      <c r="AT9" s="215"/>
      <c r="AU9" s="216"/>
      <c r="AW9" s="8"/>
      <c r="AY9" s="7"/>
    </row>
    <row r="10" spans="1:51" ht="19.899999999999999" customHeight="1">
      <c r="A10" s="220">
        <v>3</v>
      </c>
      <c r="B10" s="221"/>
      <c r="C10" s="231" t="s">
        <v>100</v>
      </c>
      <c r="D10" s="232"/>
      <c r="E10" s="233"/>
      <c r="F10" s="230"/>
      <c r="G10" s="228"/>
      <c r="H10" s="9"/>
      <c r="I10" s="9"/>
      <c r="J10" s="9"/>
      <c r="K10" s="11"/>
      <c r="L10" s="230"/>
      <c r="M10" s="228"/>
      <c r="N10" s="9"/>
      <c r="O10" s="9"/>
      <c r="P10" s="9"/>
      <c r="Q10" s="11"/>
      <c r="R10" s="230"/>
      <c r="S10" s="228"/>
      <c r="T10" s="9" t="s">
        <v>133</v>
      </c>
      <c r="U10" s="9"/>
      <c r="V10" s="227"/>
      <c r="W10" s="228"/>
      <c r="X10" s="227" t="s">
        <v>133</v>
      </c>
      <c r="Y10" s="229"/>
      <c r="Z10" s="230"/>
      <c r="AA10" s="228"/>
      <c r="AB10" s="9"/>
      <c r="AC10" s="9"/>
      <c r="AD10" s="9" t="s">
        <v>133</v>
      </c>
      <c r="AE10" s="11"/>
      <c r="AF10" s="10"/>
      <c r="AG10" s="227"/>
      <c r="AH10" s="228"/>
      <c r="AI10" s="9"/>
      <c r="AJ10" s="9"/>
      <c r="AK10" s="227" t="s">
        <v>5</v>
      </c>
      <c r="AL10" s="229"/>
      <c r="AM10" s="212">
        <f t="shared" si="0"/>
        <v>3</v>
      </c>
      <c r="AN10" s="213"/>
      <c r="AO10" s="212">
        <f t="shared" si="1"/>
        <v>8</v>
      </c>
      <c r="AP10" s="213"/>
      <c r="AQ10" s="214" t="s">
        <v>5</v>
      </c>
      <c r="AR10" s="215"/>
      <c r="AS10" s="215"/>
      <c r="AT10" s="215"/>
      <c r="AU10" s="216"/>
      <c r="AW10" s="8"/>
      <c r="AY10" s="7"/>
    </row>
    <row r="11" spans="1:51" ht="19.899999999999999" customHeight="1">
      <c r="A11" s="220">
        <v>4</v>
      </c>
      <c r="B11" s="221"/>
      <c r="C11" s="231" t="s">
        <v>101</v>
      </c>
      <c r="D11" s="232"/>
      <c r="E11" s="233"/>
      <c r="F11" s="230"/>
      <c r="G11" s="228"/>
      <c r="H11" s="9"/>
      <c r="I11" s="9"/>
      <c r="J11" s="9"/>
      <c r="K11" s="11"/>
      <c r="L11" s="230"/>
      <c r="M11" s="228"/>
      <c r="N11" s="9"/>
      <c r="O11" s="9"/>
      <c r="P11" s="9"/>
      <c r="Q11" s="11"/>
      <c r="R11" s="230"/>
      <c r="S11" s="228"/>
      <c r="T11" s="9"/>
      <c r="U11" s="9"/>
      <c r="V11" s="227"/>
      <c r="W11" s="228"/>
      <c r="X11" s="227"/>
      <c r="Y11" s="229"/>
      <c r="Z11" s="230"/>
      <c r="AA11" s="228"/>
      <c r="AB11" s="9"/>
      <c r="AC11" s="9"/>
      <c r="AD11" s="9"/>
      <c r="AE11" s="11"/>
      <c r="AF11" s="10"/>
      <c r="AG11" s="227"/>
      <c r="AH11" s="228"/>
      <c r="AI11" s="9"/>
      <c r="AJ11" s="9"/>
      <c r="AK11" s="227" t="s">
        <v>5</v>
      </c>
      <c r="AL11" s="229"/>
      <c r="AM11" s="212">
        <f t="shared" si="0"/>
        <v>0</v>
      </c>
      <c r="AN11" s="213"/>
      <c r="AO11" s="212">
        <f t="shared" si="1"/>
        <v>11</v>
      </c>
      <c r="AP11" s="213"/>
      <c r="AQ11" s="214" t="s">
        <v>5</v>
      </c>
      <c r="AR11" s="215"/>
      <c r="AS11" s="215"/>
      <c r="AT11" s="215"/>
      <c r="AU11" s="216"/>
      <c r="AW11" s="8"/>
      <c r="AY11" s="7"/>
    </row>
    <row r="12" spans="1:51" ht="19.899999999999999" customHeight="1">
      <c r="A12" s="220">
        <v>5</v>
      </c>
      <c r="B12" s="221"/>
      <c r="C12" s="231" t="s">
        <v>102</v>
      </c>
      <c r="D12" s="232"/>
      <c r="E12" s="233"/>
      <c r="F12" s="230"/>
      <c r="G12" s="228"/>
      <c r="H12" s="9"/>
      <c r="I12" s="9"/>
      <c r="J12" s="9"/>
      <c r="K12" s="11"/>
      <c r="L12" s="230"/>
      <c r="M12" s="228"/>
      <c r="N12" s="9"/>
      <c r="O12" s="9"/>
      <c r="P12" s="9"/>
      <c r="Q12" s="11"/>
      <c r="R12" s="230"/>
      <c r="S12" s="228"/>
      <c r="T12" s="9"/>
      <c r="U12" s="9"/>
      <c r="V12" s="227"/>
      <c r="W12" s="228"/>
      <c r="X12" s="227"/>
      <c r="Y12" s="229"/>
      <c r="Z12" s="230"/>
      <c r="AA12" s="228"/>
      <c r="AB12" s="9"/>
      <c r="AC12" s="9"/>
      <c r="AD12" s="9"/>
      <c r="AE12" s="11"/>
      <c r="AF12" s="10"/>
      <c r="AG12" s="227"/>
      <c r="AH12" s="228"/>
      <c r="AI12" s="9"/>
      <c r="AJ12" s="9"/>
      <c r="AK12" s="227" t="s">
        <v>5</v>
      </c>
      <c r="AL12" s="229"/>
      <c r="AM12" s="212">
        <f t="shared" si="0"/>
        <v>0</v>
      </c>
      <c r="AN12" s="213"/>
      <c r="AO12" s="212">
        <f t="shared" si="1"/>
        <v>11</v>
      </c>
      <c r="AP12" s="213"/>
      <c r="AQ12" s="214" t="s">
        <v>5</v>
      </c>
      <c r="AR12" s="215"/>
      <c r="AS12" s="215"/>
      <c r="AT12" s="215"/>
      <c r="AU12" s="216"/>
      <c r="AW12" s="8"/>
      <c r="AY12" s="7"/>
    </row>
    <row r="13" spans="1:51" ht="19.899999999999999" customHeight="1">
      <c r="A13" s="220">
        <v>6</v>
      </c>
      <c r="B13" s="221"/>
      <c r="C13" s="231" t="s">
        <v>103</v>
      </c>
      <c r="D13" s="232"/>
      <c r="E13" s="233"/>
      <c r="F13" s="230"/>
      <c r="G13" s="228"/>
      <c r="H13" s="9"/>
      <c r="I13" s="9"/>
      <c r="J13" s="9"/>
      <c r="K13" s="11"/>
      <c r="L13" s="230"/>
      <c r="M13" s="228"/>
      <c r="N13" s="9"/>
      <c r="O13" s="9"/>
      <c r="P13" s="9"/>
      <c r="Q13" s="11"/>
      <c r="R13" s="230"/>
      <c r="S13" s="228"/>
      <c r="T13" s="9"/>
      <c r="U13" s="9"/>
      <c r="V13" s="227"/>
      <c r="W13" s="228"/>
      <c r="X13" s="227"/>
      <c r="Y13" s="229"/>
      <c r="Z13" s="230"/>
      <c r="AA13" s="228"/>
      <c r="AB13" s="9"/>
      <c r="AC13" s="9"/>
      <c r="AD13" s="9"/>
      <c r="AE13" s="11"/>
      <c r="AF13" s="10"/>
      <c r="AG13" s="227"/>
      <c r="AH13" s="228"/>
      <c r="AI13" s="9"/>
      <c r="AJ13" s="9"/>
      <c r="AK13" s="227" t="s">
        <v>5</v>
      </c>
      <c r="AL13" s="229"/>
      <c r="AM13" s="212">
        <f t="shared" si="0"/>
        <v>0</v>
      </c>
      <c r="AN13" s="213"/>
      <c r="AO13" s="212">
        <f t="shared" si="1"/>
        <v>11</v>
      </c>
      <c r="AP13" s="213"/>
      <c r="AQ13" s="214" t="s">
        <v>5</v>
      </c>
      <c r="AR13" s="215"/>
      <c r="AS13" s="215"/>
      <c r="AT13" s="215"/>
      <c r="AU13" s="216"/>
      <c r="AW13" s="8"/>
      <c r="AY13" s="7"/>
    </row>
    <row r="14" spans="1:51" ht="19.899999999999999" customHeight="1">
      <c r="A14" s="220">
        <v>7</v>
      </c>
      <c r="B14" s="221"/>
      <c r="C14" s="231" t="s">
        <v>131</v>
      </c>
      <c r="D14" s="232"/>
      <c r="E14" s="55"/>
      <c r="F14" s="230"/>
      <c r="G14" s="228"/>
      <c r="H14" s="9"/>
      <c r="I14" s="9"/>
      <c r="J14" s="9"/>
      <c r="K14" s="11"/>
      <c r="L14" s="230"/>
      <c r="M14" s="228"/>
      <c r="N14" s="9"/>
      <c r="O14" s="9"/>
      <c r="P14" s="9"/>
      <c r="Q14" s="11"/>
      <c r="R14" s="230"/>
      <c r="S14" s="228"/>
      <c r="T14" s="9"/>
      <c r="U14" s="9"/>
      <c r="V14" s="227"/>
      <c r="W14" s="228"/>
      <c r="X14" s="227"/>
      <c r="Y14" s="229"/>
      <c r="Z14" s="230"/>
      <c r="AA14" s="228"/>
      <c r="AB14" s="9"/>
      <c r="AC14" s="9"/>
      <c r="AD14" s="9"/>
      <c r="AE14" s="11"/>
      <c r="AF14" s="10"/>
      <c r="AG14" s="227"/>
      <c r="AH14" s="228"/>
      <c r="AI14" s="9"/>
      <c r="AJ14" s="9"/>
      <c r="AK14" s="227" t="s">
        <v>5</v>
      </c>
      <c r="AL14" s="229"/>
      <c r="AM14" s="212">
        <f t="shared" si="0"/>
        <v>0</v>
      </c>
      <c r="AN14" s="213"/>
      <c r="AO14" s="212">
        <f t="shared" si="1"/>
        <v>11</v>
      </c>
      <c r="AP14" s="213"/>
      <c r="AQ14" s="214" t="s">
        <v>5</v>
      </c>
      <c r="AR14" s="215"/>
      <c r="AS14" s="215"/>
      <c r="AT14" s="215"/>
      <c r="AU14" s="216"/>
      <c r="AW14" s="8"/>
      <c r="AY14" s="7"/>
    </row>
    <row r="15" spans="1:51" ht="19.899999999999999" customHeight="1">
      <c r="A15" s="220">
        <v>8</v>
      </c>
      <c r="B15" s="221"/>
      <c r="C15" s="231" t="s">
        <v>104</v>
      </c>
      <c r="D15" s="232"/>
      <c r="E15" s="233"/>
      <c r="F15" s="230"/>
      <c r="G15" s="228"/>
      <c r="H15" s="9"/>
      <c r="I15" s="9"/>
      <c r="J15" s="9"/>
      <c r="K15" s="11"/>
      <c r="L15" s="230"/>
      <c r="M15" s="228"/>
      <c r="N15" s="9"/>
      <c r="O15" s="9"/>
      <c r="P15" s="9"/>
      <c r="Q15" s="11"/>
      <c r="R15" s="230"/>
      <c r="S15" s="228"/>
      <c r="T15" s="9"/>
      <c r="U15" s="9"/>
      <c r="V15" s="227"/>
      <c r="W15" s="228"/>
      <c r="X15" s="227"/>
      <c r="Y15" s="229"/>
      <c r="Z15" s="230"/>
      <c r="AA15" s="228"/>
      <c r="AB15" s="9"/>
      <c r="AC15" s="9"/>
      <c r="AD15" s="9"/>
      <c r="AE15" s="11"/>
      <c r="AF15" s="10"/>
      <c r="AG15" s="227"/>
      <c r="AH15" s="228"/>
      <c r="AI15" s="9"/>
      <c r="AJ15" s="9"/>
      <c r="AK15" s="227" t="s">
        <v>5</v>
      </c>
      <c r="AL15" s="229"/>
      <c r="AM15" s="212">
        <f t="shared" si="0"/>
        <v>0</v>
      </c>
      <c r="AN15" s="213"/>
      <c r="AO15" s="212">
        <f t="shared" si="1"/>
        <v>11</v>
      </c>
      <c r="AP15" s="213"/>
      <c r="AQ15" s="214" t="s">
        <v>5</v>
      </c>
      <c r="AR15" s="215"/>
      <c r="AS15" s="215"/>
      <c r="AT15" s="215"/>
      <c r="AU15" s="216"/>
      <c r="AW15" s="8"/>
      <c r="AY15" s="7"/>
    </row>
    <row r="16" spans="1:51" ht="19.899999999999999" customHeight="1">
      <c r="A16" s="220">
        <v>9</v>
      </c>
      <c r="B16" s="221"/>
      <c r="C16" s="231" t="s">
        <v>105</v>
      </c>
      <c r="D16" s="232"/>
      <c r="E16" s="233"/>
      <c r="F16" s="230"/>
      <c r="G16" s="228"/>
      <c r="H16" s="9"/>
      <c r="I16" s="9"/>
      <c r="J16" s="9"/>
      <c r="K16" s="11"/>
      <c r="L16" s="230"/>
      <c r="M16" s="228"/>
      <c r="N16" s="9"/>
      <c r="O16" s="9"/>
      <c r="P16" s="9"/>
      <c r="Q16" s="11"/>
      <c r="R16" s="230"/>
      <c r="S16" s="228"/>
      <c r="T16" s="9"/>
      <c r="U16" s="9"/>
      <c r="V16" s="227"/>
      <c r="W16" s="228"/>
      <c r="X16" s="227"/>
      <c r="Y16" s="229"/>
      <c r="Z16" s="230"/>
      <c r="AA16" s="228"/>
      <c r="AB16" s="9"/>
      <c r="AC16" s="9"/>
      <c r="AD16" s="9"/>
      <c r="AE16" s="11"/>
      <c r="AF16" s="10"/>
      <c r="AG16" s="227"/>
      <c r="AH16" s="228"/>
      <c r="AI16" s="9"/>
      <c r="AJ16" s="9"/>
      <c r="AK16" s="227" t="s">
        <v>5</v>
      </c>
      <c r="AL16" s="229"/>
      <c r="AM16" s="212">
        <f t="shared" si="0"/>
        <v>0</v>
      </c>
      <c r="AN16" s="213"/>
      <c r="AO16" s="212">
        <f t="shared" si="1"/>
        <v>11</v>
      </c>
      <c r="AP16" s="213"/>
      <c r="AQ16" s="214" t="s">
        <v>5</v>
      </c>
      <c r="AR16" s="215"/>
      <c r="AS16" s="215"/>
      <c r="AT16" s="215"/>
      <c r="AU16" s="216"/>
      <c r="AW16" s="8"/>
      <c r="AY16" s="7"/>
    </row>
    <row r="17" spans="1:51" ht="19.899999999999999" customHeight="1">
      <c r="A17" s="220">
        <v>10</v>
      </c>
      <c r="B17" s="221"/>
      <c r="C17" s="231" t="s">
        <v>106</v>
      </c>
      <c r="D17" s="232"/>
      <c r="E17" s="233"/>
      <c r="F17" s="230"/>
      <c r="G17" s="228"/>
      <c r="H17" s="9"/>
      <c r="I17" s="9"/>
      <c r="J17" s="9"/>
      <c r="K17" s="11"/>
      <c r="L17" s="230"/>
      <c r="M17" s="228"/>
      <c r="N17" s="9"/>
      <c r="O17" s="9"/>
      <c r="P17" s="9"/>
      <c r="Q17" s="11"/>
      <c r="R17" s="230"/>
      <c r="S17" s="228"/>
      <c r="T17" s="9"/>
      <c r="U17" s="9"/>
      <c r="V17" s="227"/>
      <c r="W17" s="228"/>
      <c r="X17" s="227"/>
      <c r="Y17" s="229"/>
      <c r="Z17" s="230"/>
      <c r="AA17" s="228"/>
      <c r="AB17" s="9"/>
      <c r="AC17" s="9"/>
      <c r="AD17" s="9"/>
      <c r="AE17" s="11"/>
      <c r="AF17" s="10"/>
      <c r="AG17" s="227"/>
      <c r="AH17" s="228"/>
      <c r="AI17" s="9"/>
      <c r="AJ17" s="9"/>
      <c r="AK17" s="227" t="s">
        <v>5</v>
      </c>
      <c r="AL17" s="229"/>
      <c r="AM17" s="212">
        <f t="shared" si="0"/>
        <v>0</v>
      </c>
      <c r="AN17" s="213"/>
      <c r="AO17" s="212">
        <f t="shared" si="1"/>
        <v>11</v>
      </c>
      <c r="AP17" s="213"/>
      <c r="AQ17" s="214" t="s">
        <v>5</v>
      </c>
      <c r="AR17" s="215"/>
      <c r="AS17" s="215"/>
      <c r="AT17" s="215"/>
      <c r="AU17" s="216"/>
      <c r="AW17" s="8"/>
      <c r="AY17" s="7"/>
    </row>
    <row r="18" spans="1:51" ht="19.899999999999999" customHeight="1">
      <c r="A18" s="220">
        <v>11</v>
      </c>
      <c r="B18" s="221"/>
      <c r="C18" s="231" t="s">
        <v>107</v>
      </c>
      <c r="D18" s="232"/>
      <c r="E18" s="233"/>
      <c r="F18" s="230"/>
      <c r="G18" s="228"/>
      <c r="H18" s="9"/>
      <c r="I18" s="9" t="s">
        <v>5</v>
      </c>
      <c r="J18" s="9" t="s">
        <v>5</v>
      </c>
      <c r="K18" s="11" t="s">
        <v>5</v>
      </c>
      <c r="L18" s="230"/>
      <c r="M18" s="228"/>
      <c r="N18" s="9"/>
      <c r="O18" s="9"/>
      <c r="P18" s="9"/>
      <c r="Q18" s="11"/>
      <c r="R18" s="230" t="s">
        <v>133</v>
      </c>
      <c r="S18" s="228"/>
      <c r="T18" s="9"/>
      <c r="U18" s="9"/>
      <c r="V18" s="227"/>
      <c r="W18" s="228"/>
      <c r="X18" s="227"/>
      <c r="Y18" s="229"/>
      <c r="Z18" s="230"/>
      <c r="AA18" s="228"/>
      <c r="AB18" s="9"/>
      <c r="AC18" s="9"/>
      <c r="AD18" s="9"/>
      <c r="AE18" s="11"/>
      <c r="AF18" s="10"/>
      <c r="AG18" s="227"/>
      <c r="AH18" s="228"/>
      <c r="AI18" s="9"/>
      <c r="AJ18" s="9"/>
      <c r="AK18" s="227" t="s">
        <v>5</v>
      </c>
      <c r="AL18" s="229"/>
      <c r="AM18" s="212">
        <f t="shared" si="0"/>
        <v>1</v>
      </c>
      <c r="AN18" s="213"/>
      <c r="AO18" s="212">
        <f t="shared" si="1"/>
        <v>10</v>
      </c>
      <c r="AP18" s="213"/>
      <c r="AQ18" s="214" t="s">
        <v>5</v>
      </c>
      <c r="AR18" s="215"/>
      <c r="AS18" s="215"/>
      <c r="AT18" s="215"/>
      <c r="AU18" s="216"/>
      <c r="AW18" s="8"/>
      <c r="AY18" s="7"/>
    </row>
    <row r="19" spans="1:51" ht="19.899999999999999" customHeight="1">
      <c r="A19" s="220">
        <v>12</v>
      </c>
      <c r="B19" s="221"/>
      <c r="C19" s="231" t="s">
        <v>108</v>
      </c>
      <c r="D19" s="232"/>
      <c r="E19" s="233"/>
      <c r="F19" s="230"/>
      <c r="G19" s="228"/>
      <c r="H19" s="9"/>
      <c r="I19" s="9" t="s">
        <v>5</v>
      </c>
      <c r="J19" s="9" t="s">
        <v>5</v>
      </c>
      <c r="K19" s="11" t="s">
        <v>5</v>
      </c>
      <c r="L19" s="230"/>
      <c r="M19" s="228"/>
      <c r="N19" s="9"/>
      <c r="O19" s="9"/>
      <c r="P19" s="9"/>
      <c r="Q19" s="11"/>
      <c r="R19" s="230"/>
      <c r="S19" s="228"/>
      <c r="T19" s="9"/>
      <c r="U19" s="9"/>
      <c r="V19" s="227"/>
      <c r="W19" s="228"/>
      <c r="X19" s="227"/>
      <c r="Y19" s="229"/>
      <c r="Z19" s="230"/>
      <c r="AA19" s="228"/>
      <c r="AB19" s="9"/>
      <c r="AC19" s="9"/>
      <c r="AD19" s="9"/>
      <c r="AE19" s="11"/>
      <c r="AF19" s="10"/>
      <c r="AG19" s="227"/>
      <c r="AH19" s="228"/>
      <c r="AI19" s="9"/>
      <c r="AJ19" s="9"/>
      <c r="AK19" s="227" t="s">
        <v>5</v>
      </c>
      <c r="AL19" s="229"/>
      <c r="AM19" s="212">
        <f t="shared" si="0"/>
        <v>0</v>
      </c>
      <c r="AN19" s="213"/>
      <c r="AO19" s="212">
        <f t="shared" si="1"/>
        <v>11</v>
      </c>
      <c r="AP19" s="213"/>
      <c r="AQ19" s="214" t="s">
        <v>5</v>
      </c>
      <c r="AR19" s="215"/>
      <c r="AS19" s="215"/>
      <c r="AT19" s="215"/>
      <c r="AU19" s="216"/>
      <c r="AW19" s="8"/>
      <c r="AY19" s="7"/>
    </row>
    <row r="20" spans="1:51" ht="18.75" customHeight="1" thickBot="1">
      <c r="A20" s="220"/>
      <c r="B20" s="221"/>
      <c r="C20" s="231"/>
      <c r="D20" s="232"/>
      <c r="E20" s="233"/>
      <c r="F20" s="230"/>
      <c r="G20" s="228"/>
      <c r="H20" s="9"/>
      <c r="I20" s="9" t="s">
        <v>5</v>
      </c>
      <c r="J20" s="9" t="s">
        <v>5</v>
      </c>
      <c r="K20" s="11" t="s">
        <v>5</v>
      </c>
      <c r="L20" s="230"/>
      <c r="M20" s="228"/>
      <c r="N20" s="9"/>
      <c r="O20" s="9"/>
      <c r="P20" s="9"/>
      <c r="Q20" s="11"/>
      <c r="R20" s="230"/>
      <c r="S20" s="228"/>
      <c r="T20" s="9"/>
      <c r="U20" s="9"/>
      <c r="V20" s="227"/>
      <c r="W20" s="228"/>
      <c r="X20" s="227"/>
      <c r="Y20" s="229"/>
      <c r="Z20" s="230"/>
      <c r="AA20" s="228"/>
      <c r="AB20" s="9"/>
      <c r="AC20" s="9"/>
      <c r="AD20" s="9"/>
      <c r="AE20" s="11"/>
      <c r="AF20" s="10"/>
      <c r="AG20" s="227"/>
      <c r="AH20" s="228"/>
      <c r="AI20" s="9"/>
      <c r="AJ20" s="9"/>
      <c r="AK20" s="227" t="s">
        <v>5</v>
      </c>
      <c r="AL20" s="229"/>
      <c r="AM20" s="212">
        <f t="shared" si="0"/>
        <v>0</v>
      </c>
      <c r="AN20" s="213"/>
      <c r="AO20" s="212">
        <f t="shared" si="1"/>
        <v>11</v>
      </c>
      <c r="AP20" s="213"/>
      <c r="AQ20" s="214" t="s">
        <v>5</v>
      </c>
      <c r="AR20" s="215"/>
      <c r="AS20" s="215"/>
      <c r="AT20" s="215"/>
      <c r="AU20" s="216"/>
      <c r="AW20" s="8"/>
      <c r="AY20" s="7"/>
    </row>
    <row r="21" spans="1:51" ht="19.5" hidden="1" customHeight="1" thickBot="1">
      <c r="A21" s="220">
        <v>14</v>
      </c>
      <c r="B21" s="221"/>
      <c r="C21" s="246"/>
      <c r="D21" s="247"/>
      <c r="E21" s="248"/>
      <c r="F21" s="230"/>
      <c r="G21" s="228"/>
      <c r="H21" s="9"/>
      <c r="I21" s="9" t="s">
        <v>5</v>
      </c>
      <c r="J21" s="9" t="s">
        <v>5</v>
      </c>
      <c r="K21" s="11" t="s">
        <v>5</v>
      </c>
      <c r="L21" s="230"/>
      <c r="M21" s="228"/>
      <c r="N21" s="9"/>
      <c r="O21" s="9"/>
      <c r="P21" s="9"/>
      <c r="Q21" s="11"/>
      <c r="R21" s="230"/>
      <c r="S21" s="228"/>
      <c r="T21" s="9"/>
      <c r="U21" s="9"/>
      <c r="V21" s="227"/>
      <c r="W21" s="228"/>
      <c r="X21" s="227"/>
      <c r="Y21" s="229"/>
      <c r="Z21" s="230"/>
      <c r="AA21" s="228"/>
      <c r="AB21" s="9"/>
      <c r="AC21" s="9"/>
      <c r="AD21" s="9"/>
      <c r="AE21" s="11"/>
      <c r="AF21" s="10"/>
      <c r="AG21" s="227"/>
      <c r="AH21" s="228"/>
      <c r="AI21" s="9"/>
      <c r="AJ21" s="9"/>
      <c r="AK21" s="227" t="s">
        <v>5</v>
      </c>
      <c r="AL21" s="229"/>
      <c r="AM21" s="212">
        <f t="shared" si="0"/>
        <v>0</v>
      </c>
      <c r="AN21" s="213"/>
      <c r="AO21" s="212">
        <f t="shared" si="1"/>
        <v>11</v>
      </c>
      <c r="AP21" s="213"/>
      <c r="AQ21" s="214" t="s">
        <v>5</v>
      </c>
      <c r="AR21" s="215"/>
      <c r="AS21" s="215"/>
      <c r="AT21" s="215"/>
      <c r="AU21" s="216"/>
      <c r="AW21" s="8"/>
      <c r="AY21" s="7"/>
    </row>
    <row r="22" spans="1:51" ht="19.5" hidden="1" customHeight="1" thickBot="1">
      <c r="A22" s="220">
        <v>15</v>
      </c>
      <c r="B22" s="221"/>
      <c r="C22" s="246"/>
      <c r="D22" s="247"/>
      <c r="E22" s="248"/>
      <c r="F22" s="230"/>
      <c r="G22" s="228"/>
      <c r="H22" s="9"/>
      <c r="I22" s="9" t="s">
        <v>5</v>
      </c>
      <c r="J22" s="9" t="s">
        <v>5</v>
      </c>
      <c r="K22" s="11" t="s">
        <v>5</v>
      </c>
      <c r="L22" s="230"/>
      <c r="M22" s="228"/>
      <c r="N22" s="9"/>
      <c r="O22" s="9"/>
      <c r="P22" s="9"/>
      <c r="Q22" s="11"/>
      <c r="R22" s="230"/>
      <c r="S22" s="228"/>
      <c r="T22" s="9"/>
      <c r="U22" s="9"/>
      <c r="V22" s="227"/>
      <c r="W22" s="228"/>
      <c r="X22" s="227"/>
      <c r="Y22" s="229"/>
      <c r="Z22" s="230"/>
      <c r="AA22" s="228"/>
      <c r="AB22" s="9"/>
      <c r="AC22" s="9"/>
      <c r="AD22" s="9"/>
      <c r="AE22" s="11"/>
      <c r="AF22" s="10"/>
      <c r="AG22" s="227"/>
      <c r="AH22" s="228"/>
      <c r="AI22" s="9"/>
      <c r="AJ22" s="9"/>
      <c r="AK22" s="227" t="s">
        <v>5</v>
      </c>
      <c r="AL22" s="229"/>
      <c r="AM22" s="212">
        <f t="shared" si="0"/>
        <v>0</v>
      </c>
      <c r="AN22" s="213"/>
      <c r="AO22" s="212">
        <f t="shared" si="1"/>
        <v>11</v>
      </c>
      <c r="AP22" s="213"/>
      <c r="AQ22" s="214" t="s">
        <v>5</v>
      </c>
      <c r="AR22" s="215"/>
      <c r="AS22" s="215"/>
      <c r="AT22" s="215"/>
      <c r="AU22" s="216"/>
      <c r="AW22" s="8"/>
      <c r="AY22" s="7"/>
    </row>
    <row r="23" spans="1:51" ht="19.5" hidden="1" customHeight="1" thickBot="1">
      <c r="A23" s="220">
        <v>16</v>
      </c>
      <c r="B23" s="221"/>
      <c r="C23" s="246"/>
      <c r="D23" s="247"/>
      <c r="E23" s="248"/>
      <c r="F23" s="230"/>
      <c r="G23" s="228"/>
      <c r="H23" s="9"/>
      <c r="I23" s="9" t="s">
        <v>5</v>
      </c>
      <c r="J23" s="9" t="s">
        <v>5</v>
      </c>
      <c r="K23" s="11" t="s">
        <v>5</v>
      </c>
      <c r="L23" s="230"/>
      <c r="M23" s="228"/>
      <c r="N23" s="9"/>
      <c r="O23" s="9"/>
      <c r="P23" s="9"/>
      <c r="Q23" s="11"/>
      <c r="R23" s="230"/>
      <c r="S23" s="228"/>
      <c r="T23" s="9"/>
      <c r="U23" s="9"/>
      <c r="V23" s="227"/>
      <c r="W23" s="228"/>
      <c r="X23" s="227"/>
      <c r="Y23" s="229"/>
      <c r="Z23" s="230"/>
      <c r="AA23" s="228"/>
      <c r="AB23" s="9"/>
      <c r="AC23" s="9"/>
      <c r="AD23" s="9"/>
      <c r="AE23" s="11"/>
      <c r="AF23" s="10"/>
      <c r="AG23" s="227"/>
      <c r="AH23" s="228"/>
      <c r="AI23" s="9"/>
      <c r="AJ23" s="9"/>
      <c r="AK23" s="227" t="s">
        <v>5</v>
      </c>
      <c r="AL23" s="229"/>
      <c r="AM23" s="212">
        <f t="shared" si="0"/>
        <v>0</v>
      </c>
      <c r="AN23" s="213"/>
      <c r="AO23" s="212">
        <f t="shared" si="1"/>
        <v>11</v>
      </c>
      <c r="AP23" s="213"/>
      <c r="AQ23" s="214" t="s">
        <v>5</v>
      </c>
      <c r="AR23" s="215"/>
      <c r="AS23" s="215"/>
      <c r="AT23" s="215"/>
      <c r="AU23" s="216"/>
      <c r="AW23" s="8"/>
      <c r="AY23" s="7"/>
    </row>
    <row r="24" spans="1:51" ht="19.5" hidden="1" customHeight="1" thickBot="1">
      <c r="A24" s="220">
        <v>17</v>
      </c>
      <c r="B24" s="221"/>
      <c r="C24" s="246"/>
      <c r="D24" s="247"/>
      <c r="E24" s="248"/>
      <c r="F24" s="230"/>
      <c r="G24" s="228"/>
      <c r="H24" s="9"/>
      <c r="I24" s="9" t="s">
        <v>5</v>
      </c>
      <c r="J24" s="9" t="s">
        <v>5</v>
      </c>
      <c r="K24" s="11" t="s">
        <v>5</v>
      </c>
      <c r="L24" s="230"/>
      <c r="M24" s="228"/>
      <c r="N24" s="9"/>
      <c r="O24" s="9"/>
      <c r="P24" s="9"/>
      <c r="Q24" s="11"/>
      <c r="R24" s="230"/>
      <c r="S24" s="228"/>
      <c r="T24" s="9"/>
      <c r="U24" s="9"/>
      <c r="V24" s="227"/>
      <c r="W24" s="228"/>
      <c r="X24" s="227"/>
      <c r="Y24" s="229"/>
      <c r="Z24" s="230"/>
      <c r="AA24" s="228"/>
      <c r="AB24" s="9"/>
      <c r="AC24" s="9"/>
      <c r="AD24" s="9"/>
      <c r="AE24" s="11"/>
      <c r="AF24" s="10"/>
      <c r="AG24" s="227"/>
      <c r="AH24" s="228"/>
      <c r="AI24" s="9"/>
      <c r="AJ24" s="9"/>
      <c r="AK24" s="227" t="s">
        <v>5</v>
      </c>
      <c r="AL24" s="229"/>
      <c r="AM24" s="212">
        <f t="shared" si="0"/>
        <v>0</v>
      </c>
      <c r="AN24" s="213"/>
      <c r="AO24" s="212">
        <f t="shared" si="1"/>
        <v>11</v>
      </c>
      <c r="AP24" s="213"/>
      <c r="AQ24" s="214" t="s">
        <v>5</v>
      </c>
      <c r="AR24" s="215"/>
      <c r="AS24" s="215"/>
      <c r="AT24" s="215"/>
      <c r="AU24" s="216"/>
      <c r="AW24" s="8"/>
      <c r="AY24" s="7"/>
    </row>
    <row r="25" spans="1:51" ht="19.5" hidden="1" customHeight="1" thickBot="1">
      <c r="A25" s="220">
        <v>18</v>
      </c>
      <c r="B25" s="221"/>
      <c r="C25" s="246"/>
      <c r="D25" s="247"/>
      <c r="E25" s="248"/>
      <c r="F25" s="230"/>
      <c r="G25" s="228"/>
      <c r="H25" s="9"/>
      <c r="I25" s="9" t="s">
        <v>5</v>
      </c>
      <c r="J25" s="9" t="s">
        <v>5</v>
      </c>
      <c r="K25" s="11" t="s">
        <v>5</v>
      </c>
      <c r="L25" s="230"/>
      <c r="M25" s="228"/>
      <c r="N25" s="9"/>
      <c r="O25" s="9"/>
      <c r="P25" s="9"/>
      <c r="Q25" s="11"/>
      <c r="R25" s="230"/>
      <c r="S25" s="228"/>
      <c r="T25" s="9"/>
      <c r="U25" s="9"/>
      <c r="V25" s="227"/>
      <c r="W25" s="228"/>
      <c r="X25" s="227"/>
      <c r="Y25" s="229"/>
      <c r="Z25" s="230"/>
      <c r="AA25" s="228"/>
      <c r="AB25" s="9"/>
      <c r="AC25" s="9"/>
      <c r="AD25" s="9"/>
      <c r="AE25" s="11"/>
      <c r="AF25" s="10"/>
      <c r="AG25" s="227"/>
      <c r="AH25" s="228"/>
      <c r="AI25" s="9"/>
      <c r="AJ25" s="9"/>
      <c r="AK25" s="227" t="s">
        <v>5</v>
      </c>
      <c r="AL25" s="229"/>
      <c r="AM25" s="212">
        <f t="shared" si="0"/>
        <v>0</v>
      </c>
      <c r="AN25" s="213"/>
      <c r="AO25" s="212">
        <f t="shared" si="1"/>
        <v>11</v>
      </c>
      <c r="AP25" s="213"/>
      <c r="AQ25" s="214" t="s">
        <v>5</v>
      </c>
      <c r="AR25" s="215"/>
      <c r="AS25" s="215"/>
      <c r="AT25" s="215"/>
      <c r="AU25" s="216"/>
      <c r="AW25" s="8"/>
      <c r="AY25" s="7"/>
    </row>
    <row r="26" spans="1:51" ht="19.5" hidden="1" customHeight="1" thickBot="1">
      <c r="A26" s="220">
        <v>19</v>
      </c>
      <c r="B26" s="221"/>
      <c r="C26" s="249"/>
      <c r="D26" s="250"/>
      <c r="E26" s="54"/>
      <c r="F26" s="58"/>
      <c r="G26" s="59"/>
      <c r="H26" s="9"/>
      <c r="I26" s="9"/>
      <c r="J26" s="9"/>
      <c r="K26" s="11"/>
      <c r="L26" s="58"/>
      <c r="M26" s="59"/>
      <c r="N26" s="9"/>
      <c r="O26" s="9"/>
      <c r="P26" s="9"/>
      <c r="Q26" s="11"/>
      <c r="R26" s="58"/>
      <c r="S26" s="59"/>
      <c r="T26" s="9"/>
      <c r="U26" s="9"/>
      <c r="V26" s="56"/>
      <c r="W26" s="59"/>
      <c r="X26" s="56"/>
      <c r="Y26" s="57"/>
      <c r="Z26" s="58"/>
      <c r="AA26" s="59"/>
      <c r="AB26" s="9"/>
      <c r="AC26" s="9"/>
      <c r="AD26" s="9"/>
      <c r="AE26" s="11"/>
      <c r="AF26" s="10"/>
      <c r="AG26" s="56"/>
      <c r="AH26" s="59"/>
      <c r="AI26" s="9"/>
      <c r="AJ26" s="9"/>
      <c r="AK26" s="56"/>
      <c r="AL26" s="57"/>
      <c r="AM26" s="212">
        <f t="shared" si="0"/>
        <v>0</v>
      </c>
      <c r="AN26" s="213"/>
      <c r="AO26" s="212">
        <f t="shared" si="1"/>
        <v>11</v>
      </c>
      <c r="AP26" s="213"/>
      <c r="AQ26" s="245"/>
      <c r="AR26" s="215"/>
      <c r="AS26" s="215"/>
      <c r="AT26" s="215"/>
      <c r="AU26" s="37"/>
      <c r="AW26" s="8"/>
      <c r="AY26" s="7"/>
    </row>
    <row r="27" spans="1:51" ht="19.5" hidden="1" customHeight="1" thickBot="1">
      <c r="A27" s="220">
        <v>20</v>
      </c>
      <c r="B27" s="221"/>
      <c r="C27" s="246"/>
      <c r="D27" s="247"/>
      <c r="E27" s="248"/>
      <c r="F27" s="230"/>
      <c r="G27" s="228"/>
      <c r="H27" s="9"/>
      <c r="I27" s="9" t="s">
        <v>5</v>
      </c>
      <c r="J27" s="9" t="s">
        <v>5</v>
      </c>
      <c r="K27" s="11" t="s">
        <v>5</v>
      </c>
      <c r="L27" s="230"/>
      <c r="M27" s="228"/>
      <c r="N27" s="9"/>
      <c r="O27" s="9"/>
      <c r="P27" s="9"/>
      <c r="Q27" s="11"/>
      <c r="R27" s="230"/>
      <c r="S27" s="228"/>
      <c r="T27" s="9"/>
      <c r="U27" s="9"/>
      <c r="V27" s="227"/>
      <c r="W27" s="228"/>
      <c r="X27" s="227"/>
      <c r="Y27" s="229"/>
      <c r="Z27" s="230"/>
      <c r="AA27" s="228"/>
      <c r="AB27" s="9"/>
      <c r="AC27" s="9"/>
      <c r="AD27" s="9"/>
      <c r="AE27" s="11"/>
      <c r="AF27" s="10"/>
      <c r="AG27" s="227"/>
      <c r="AH27" s="228"/>
      <c r="AI27" s="9"/>
      <c r="AJ27" s="9"/>
      <c r="AK27" s="227" t="s">
        <v>5</v>
      </c>
      <c r="AL27" s="229"/>
      <c r="AM27" s="212">
        <f t="shared" si="0"/>
        <v>0</v>
      </c>
      <c r="AN27" s="213"/>
      <c r="AO27" s="212">
        <f t="shared" si="1"/>
        <v>11</v>
      </c>
      <c r="AP27" s="213"/>
      <c r="AQ27" s="245" t="s">
        <v>5</v>
      </c>
      <c r="AR27" s="215"/>
      <c r="AS27" s="215"/>
      <c r="AT27" s="215"/>
      <c r="AU27" s="216"/>
      <c r="AW27" s="8"/>
      <c r="AY27" s="7"/>
    </row>
    <row r="28" spans="1:51" ht="19.5" hidden="1" customHeight="1" thickBot="1">
      <c r="A28" s="220">
        <v>21</v>
      </c>
      <c r="B28" s="221"/>
      <c r="C28" s="246"/>
      <c r="D28" s="247"/>
      <c r="E28" s="248"/>
      <c r="F28" s="226"/>
      <c r="G28" s="210"/>
      <c r="H28" s="16"/>
      <c r="I28" s="16" t="s">
        <v>5</v>
      </c>
      <c r="J28" s="16" t="s">
        <v>5</v>
      </c>
      <c r="K28" s="17" t="s">
        <v>5</v>
      </c>
      <c r="L28" s="226"/>
      <c r="M28" s="210"/>
      <c r="N28" s="16"/>
      <c r="O28" s="16"/>
      <c r="P28" s="16"/>
      <c r="Q28" s="17"/>
      <c r="R28" s="226"/>
      <c r="S28" s="210"/>
      <c r="T28" s="16"/>
      <c r="U28" s="16"/>
      <c r="V28" s="209"/>
      <c r="W28" s="210"/>
      <c r="X28" s="209"/>
      <c r="Y28" s="211"/>
      <c r="Z28" s="226"/>
      <c r="AA28" s="210"/>
      <c r="AB28" s="16"/>
      <c r="AC28" s="16"/>
      <c r="AD28" s="16"/>
      <c r="AE28" s="17"/>
      <c r="AF28" s="15"/>
      <c r="AG28" s="209"/>
      <c r="AH28" s="210"/>
      <c r="AI28" s="16"/>
      <c r="AJ28" s="16"/>
      <c r="AK28" s="209" t="s">
        <v>5</v>
      </c>
      <c r="AL28" s="211"/>
      <c r="AM28" s="212">
        <f t="shared" si="0"/>
        <v>0</v>
      </c>
      <c r="AN28" s="213"/>
      <c r="AO28" s="212">
        <f t="shared" si="1"/>
        <v>11</v>
      </c>
      <c r="AP28" s="213"/>
      <c r="AQ28" s="214" t="s">
        <v>5</v>
      </c>
      <c r="AR28" s="215"/>
      <c r="AS28" s="215"/>
      <c r="AT28" s="215"/>
      <c r="AU28" s="216"/>
      <c r="AW28" s="217" t="s">
        <v>74</v>
      </c>
      <c r="AX28" s="218"/>
      <c r="AY28" s="219"/>
    </row>
    <row r="29" spans="1:51" ht="19.899999999999999" customHeight="1" thickTop="1" thickBot="1">
      <c r="A29" s="187">
        <v>12</v>
      </c>
      <c r="B29" s="188"/>
      <c r="C29" s="205" t="s">
        <v>21</v>
      </c>
      <c r="D29" s="206"/>
      <c r="E29" s="206"/>
      <c r="F29" s="243"/>
      <c r="G29" s="241"/>
      <c r="H29" s="28"/>
      <c r="I29" s="28"/>
      <c r="J29" s="28"/>
      <c r="K29" s="28"/>
      <c r="L29" s="242"/>
      <c r="M29" s="241"/>
      <c r="N29" s="28"/>
      <c r="O29" s="28"/>
      <c r="P29" s="28"/>
      <c r="Q29" s="33"/>
      <c r="R29" s="244">
        <v>11</v>
      </c>
      <c r="S29" s="238"/>
      <c r="T29" s="26">
        <v>11</v>
      </c>
      <c r="U29" s="26">
        <v>11</v>
      </c>
      <c r="V29" s="238">
        <v>12</v>
      </c>
      <c r="W29" s="238"/>
      <c r="X29" s="238">
        <v>11</v>
      </c>
      <c r="Y29" s="239"/>
      <c r="Z29" s="240">
        <v>12</v>
      </c>
      <c r="AA29" s="241"/>
      <c r="AB29" s="28">
        <v>12</v>
      </c>
      <c r="AC29" s="28">
        <v>12</v>
      </c>
      <c r="AD29" s="28">
        <v>11</v>
      </c>
      <c r="AE29" s="32">
        <v>12</v>
      </c>
      <c r="AF29" s="34">
        <v>12</v>
      </c>
      <c r="AG29" s="242"/>
      <c r="AH29" s="241"/>
      <c r="AI29" s="28"/>
      <c r="AJ29" s="28"/>
      <c r="AK29" s="238"/>
      <c r="AL29" s="239"/>
      <c r="AM29" s="170">
        <f>SUM(AM8:AN28)</f>
        <v>5</v>
      </c>
      <c r="AN29" s="171"/>
      <c r="AO29" s="172">
        <f>AY29-AM29</f>
        <v>127</v>
      </c>
      <c r="AP29" s="171"/>
      <c r="AQ29" s="173" t="s">
        <v>5</v>
      </c>
      <c r="AR29" s="174"/>
      <c r="AS29" s="174"/>
      <c r="AT29" s="174"/>
      <c r="AU29" s="175"/>
      <c r="AW29" s="12">
        <f>AW5</f>
        <v>11</v>
      </c>
      <c r="AX29" s="39">
        <v>12</v>
      </c>
      <c r="AY29" s="7">
        <f>AW29*AX29</f>
        <v>132</v>
      </c>
    </row>
    <row r="30" spans="1:51" ht="19.899999999999999" customHeight="1">
      <c r="A30" s="220">
        <v>1</v>
      </c>
      <c r="B30" s="221"/>
      <c r="C30" s="231" t="s">
        <v>109</v>
      </c>
      <c r="D30" s="232"/>
      <c r="E30" s="233"/>
      <c r="F30" s="230"/>
      <c r="G30" s="228"/>
      <c r="H30" s="29"/>
      <c r="I30" s="9"/>
      <c r="J30" s="9"/>
      <c r="K30" s="30"/>
      <c r="L30" s="237"/>
      <c r="M30" s="235"/>
      <c r="N30" s="9"/>
      <c r="O30" s="29"/>
      <c r="P30" s="29"/>
      <c r="Q30" s="30"/>
      <c r="R30" s="237"/>
      <c r="S30" s="235"/>
      <c r="T30" s="29"/>
      <c r="U30" s="29"/>
      <c r="V30" s="234"/>
      <c r="W30" s="235"/>
      <c r="X30" s="234"/>
      <c r="Y30" s="236"/>
      <c r="Z30" s="237"/>
      <c r="AA30" s="235"/>
      <c r="AB30" s="29"/>
      <c r="AC30" s="29"/>
      <c r="AD30" s="29"/>
      <c r="AE30" s="30"/>
      <c r="AF30" s="31"/>
      <c r="AG30" s="234"/>
      <c r="AH30" s="235"/>
      <c r="AI30" s="29"/>
      <c r="AJ30" s="9"/>
      <c r="AK30" s="234"/>
      <c r="AL30" s="236"/>
      <c r="AM30" s="212">
        <f t="shared" ref="AM30:AM48" si="2">COUNTIF(F30:AL30,"X")</f>
        <v>0</v>
      </c>
      <c r="AN30" s="213"/>
      <c r="AO30" s="212">
        <f t="shared" ref="AO30:AO48" si="3">$AW$5-AM30</f>
        <v>11</v>
      </c>
      <c r="AP30" s="213"/>
      <c r="AQ30" s="214" t="s">
        <v>5</v>
      </c>
      <c r="AR30" s="215"/>
      <c r="AS30" s="215"/>
      <c r="AT30" s="215"/>
      <c r="AU30" s="216"/>
      <c r="AW30" s="8"/>
      <c r="AY30" s="7"/>
    </row>
    <row r="31" spans="1:51" ht="19.899999999999999" customHeight="1">
      <c r="A31" s="220">
        <v>2</v>
      </c>
      <c r="B31" s="221"/>
      <c r="C31" s="231" t="s">
        <v>110</v>
      </c>
      <c r="D31" s="232"/>
      <c r="E31" s="233"/>
      <c r="F31" s="230"/>
      <c r="G31" s="228"/>
      <c r="H31" s="9"/>
      <c r="I31" s="9"/>
      <c r="J31" s="9"/>
      <c r="K31" s="11"/>
      <c r="L31" s="230"/>
      <c r="M31" s="228"/>
      <c r="N31" s="9"/>
      <c r="O31" s="9"/>
      <c r="P31" s="9"/>
      <c r="Q31" s="11"/>
      <c r="R31" s="230"/>
      <c r="S31" s="228"/>
      <c r="T31" s="9"/>
      <c r="U31" s="9"/>
      <c r="V31" s="227"/>
      <c r="W31" s="228"/>
      <c r="X31" s="227"/>
      <c r="Y31" s="229"/>
      <c r="Z31" s="230"/>
      <c r="AA31" s="228"/>
      <c r="AB31" s="9"/>
      <c r="AC31" s="9"/>
      <c r="AD31" s="9"/>
      <c r="AE31" s="11"/>
      <c r="AF31" s="10"/>
      <c r="AG31" s="227"/>
      <c r="AH31" s="228"/>
      <c r="AI31" s="9"/>
      <c r="AJ31" s="9"/>
      <c r="AK31" s="227"/>
      <c r="AL31" s="229"/>
      <c r="AM31" s="212">
        <f t="shared" si="2"/>
        <v>0</v>
      </c>
      <c r="AN31" s="213"/>
      <c r="AO31" s="212">
        <f t="shared" si="3"/>
        <v>11</v>
      </c>
      <c r="AP31" s="213"/>
      <c r="AQ31" s="214" t="s">
        <v>5</v>
      </c>
      <c r="AR31" s="215"/>
      <c r="AS31" s="215"/>
      <c r="AT31" s="215"/>
      <c r="AU31" s="216"/>
      <c r="AW31" s="8"/>
      <c r="AY31" s="7"/>
    </row>
    <row r="32" spans="1:51" ht="19.899999999999999" customHeight="1">
      <c r="A32" s="220">
        <v>3</v>
      </c>
      <c r="B32" s="221"/>
      <c r="C32" s="231" t="s">
        <v>111</v>
      </c>
      <c r="D32" s="232"/>
      <c r="E32" s="233"/>
      <c r="F32" s="230"/>
      <c r="G32" s="228"/>
      <c r="H32" s="9"/>
      <c r="I32" s="9"/>
      <c r="J32" s="9"/>
      <c r="K32" s="11"/>
      <c r="L32" s="230"/>
      <c r="M32" s="228"/>
      <c r="N32" s="9"/>
      <c r="O32" s="9"/>
      <c r="P32" s="9"/>
      <c r="Q32" s="11"/>
      <c r="R32" s="230" t="s">
        <v>133</v>
      </c>
      <c r="S32" s="228"/>
      <c r="T32" s="9"/>
      <c r="U32" s="9" t="s">
        <v>133</v>
      </c>
      <c r="V32" s="227"/>
      <c r="W32" s="228"/>
      <c r="X32" s="227"/>
      <c r="Y32" s="229"/>
      <c r="Z32" s="230" t="s">
        <v>133</v>
      </c>
      <c r="AA32" s="228"/>
      <c r="AB32" s="9" t="s">
        <v>133</v>
      </c>
      <c r="AC32" s="9"/>
      <c r="AD32" s="9"/>
      <c r="AE32" s="11"/>
      <c r="AF32" s="10"/>
      <c r="AG32" s="227"/>
      <c r="AH32" s="228"/>
      <c r="AI32" s="9"/>
      <c r="AJ32" s="9"/>
      <c r="AK32" s="227"/>
      <c r="AL32" s="229"/>
      <c r="AM32" s="212">
        <f t="shared" si="2"/>
        <v>4</v>
      </c>
      <c r="AN32" s="213"/>
      <c r="AO32" s="212">
        <f t="shared" si="3"/>
        <v>7</v>
      </c>
      <c r="AP32" s="213"/>
      <c r="AQ32" s="214" t="s">
        <v>5</v>
      </c>
      <c r="AR32" s="215"/>
      <c r="AS32" s="215"/>
      <c r="AT32" s="215"/>
      <c r="AU32" s="216"/>
      <c r="AW32" s="8"/>
      <c r="AY32" s="7"/>
    </row>
    <row r="33" spans="1:51" ht="19.899999999999999" customHeight="1">
      <c r="A33" s="220">
        <v>4</v>
      </c>
      <c r="B33" s="221"/>
      <c r="C33" s="231" t="s">
        <v>112</v>
      </c>
      <c r="D33" s="232"/>
      <c r="E33" s="233"/>
      <c r="F33" s="230"/>
      <c r="G33" s="228"/>
      <c r="H33" s="9"/>
      <c r="I33" s="9"/>
      <c r="J33" s="9"/>
      <c r="K33" s="11"/>
      <c r="L33" s="230"/>
      <c r="M33" s="228"/>
      <c r="N33" s="9"/>
      <c r="O33" s="9"/>
      <c r="P33" s="9"/>
      <c r="Q33" s="11"/>
      <c r="R33" s="230"/>
      <c r="S33" s="228"/>
      <c r="T33" s="9"/>
      <c r="U33" s="9"/>
      <c r="V33" s="227"/>
      <c r="W33" s="228"/>
      <c r="X33" s="227"/>
      <c r="Y33" s="229"/>
      <c r="Z33" s="230"/>
      <c r="AA33" s="228"/>
      <c r="AB33" s="9"/>
      <c r="AC33" s="9"/>
      <c r="AD33" s="9"/>
      <c r="AE33" s="11"/>
      <c r="AF33" s="10"/>
      <c r="AG33" s="227"/>
      <c r="AH33" s="228"/>
      <c r="AI33" s="9"/>
      <c r="AJ33" s="9"/>
      <c r="AK33" s="227"/>
      <c r="AL33" s="229"/>
      <c r="AM33" s="212">
        <f t="shared" si="2"/>
        <v>0</v>
      </c>
      <c r="AN33" s="213"/>
      <c r="AO33" s="212">
        <f t="shared" si="3"/>
        <v>11</v>
      </c>
      <c r="AP33" s="213"/>
      <c r="AQ33" s="214" t="s">
        <v>5</v>
      </c>
      <c r="AR33" s="215"/>
      <c r="AS33" s="215"/>
      <c r="AT33" s="215"/>
      <c r="AU33" s="216"/>
      <c r="AW33" s="8"/>
      <c r="AY33" s="7"/>
    </row>
    <row r="34" spans="1:51" ht="19.899999999999999" customHeight="1">
      <c r="A34" s="220">
        <v>5</v>
      </c>
      <c r="B34" s="221"/>
      <c r="C34" s="231" t="s">
        <v>113</v>
      </c>
      <c r="D34" s="232"/>
      <c r="E34" s="233"/>
      <c r="F34" s="230"/>
      <c r="G34" s="228"/>
      <c r="H34" s="9"/>
      <c r="I34" s="9"/>
      <c r="J34" s="9"/>
      <c r="K34" s="11"/>
      <c r="L34" s="230"/>
      <c r="M34" s="228"/>
      <c r="N34" s="9"/>
      <c r="O34" s="9"/>
      <c r="P34" s="9"/>
      <c r="Q34" s="11"/>
      <c r="R34" s="230"/>
      <c r="S34" s="228"/>
      <c r="T34" s="9"/>
      <c r="U34" s="9"/>
      <c r="V34" s="227"/>
      <c r="W34" s="228"/>
      <c r="X34" s="227"/>
      <c r="Y34" s="229"/>
      <c r="Z34" s="230"/>
      <c r="AA34" s="228"/>
      <c r="AB34" s="9"/>
      <c r="AC34" s="9"/>
      <c r="AD34" s="9"/>
      <c r="AE34" s="11"/>
      <c r="AF34" s="10"/>
      <c r="AG34" s="227"/>
      <c r="AH34" s="228"/>
      <c r="AI34" s="9"/>
      <c r="AJ34" s="9"/>
      <c r="AK34" s="227"/>
      <c r="AL34" s="229"/>
      <c r="AM34" s="212">
        <f t="shared" si="2"/>
        <v>0</v>
      </c>
      <c r="AN34" s="213"/>
      <c r="AO34" s="212">
        <f t="shared" si="3"/>
        <v>11</v>
      </c>
      <c r="AP34" s="213"/>
      <c r="AQ34" s="214" t="s">
        <v>5</v>
      </c>
      <c r="AR34" s="215"/>
      <c r="AS34" s="215"/>
      <c r="AT34" s="215"/>
      <c r="AU34" s="216"/>
      <c r="AW34" s="8"/>
      <c r="AY34" s="7"/>
    </row>
    <row r="35" spans="1:51" ht="19.899999999999999" customHeight="1">
      <c r="A35" s="220">
        <v>6</v>
      </c>
      <c r="B35" s="221"/>
      <c r="C35" s="231" t="s">
        <v>114</v>
      </c>
      <c r="D35" s="232"/>
      <c r="E35" s="233"/>
      <c r="F35" s="230"/>
      <c r="G35" s="228"/>
      <c r="H35" s="9"/>
      <c r="I35" s="9"/>
      <c r="J35" s="9"/>
      <c r="K35" s="11"/>
      <c r="L35" s="230"/>
      <c r="M35" s="228"/>
      <c r="N35" s="9"/>
      <c r="O35" s="9"/>
      <c r="P35" s="9"/>
      <c r="Q35" s="11"/>
      <c r="R35" s="230"/>
      <c r="S35" s="228"/>
      <c r="T35" s="9"/>
      <c r="U35" s="9"/>
      <c r="V35" s="227"/>
      <c r="W35" s="228"/>
      <c r="X35" s="227"/>
      <c r="Y35" s="229"/>
      <c r="Z35" s="230"/>
      <c r="AA35" s="228"/>
      <c r="AB35" s="9"/>
      <c r="AC35" s="9"/>
      <c r="AD35" s="9"/>
      <c r="AE35" s="11"/>
      <c r="AF35" s="10"/>
      <c r="AG35" s="227"/>
      <c r="AH35" s="228"/>
      <c r="AI35" s="9"/>
      <c r="AJ35" s="9"/>
      <c r="AK35" s="227"/>
      <c r="AL35" s="229"/>
      <c r="AM35" s="212">
        <f t="shared" si="2"/>
        <v>0</v>
      </c>
      <c r="AN35" s="213"/>
      <c r="AO35" s="212">
        <f t="shared" si="3"/>
        <v>11</v>
      </c>
      <c r="AP35" s="213"/>
      <c r="AQ35" s="214" t="s">
        <v>5</v>
      </c>
      <c r="AR35" s="215"/>
      <c r="AS35" s="215"/>
      <c r="AT35" s="215"/>
      <c r="AU35" s="216"/>
      <c r="AW35" s="8"/>
      <c r="AY35" s="7"/>
    </row>
    <row r="36" spans="1:51" ht="19.899999999999999" customHeight="1">
      <c r="A36" s="220">
        <v>7</v>
      </c>
      <c r="B36" s="221"/>
      <c r="C36" s="231" t="s">
        <v>115</v>
      </c>
      <c r="D36" s="232"/>
      <c r="E36" s="233"/>
      <c r="F36" s="230"/>
      <c r="G36" s="228"/>
      <c r="H36" s="9"/>
      <c r="I36" s="9"/>
      <c r="J36" s="9"/>
      <c r="K36" s="11"/>
      <c r="L36" s="230"/>
      <c r="M36" s="228"/>
      <c r="N36" s="9"/>
      <c r="O36" s="9"/>
      <c r="P36" s="9"/>
      <c r="Q36" s="11"/>
      <c r="R36" s="230"/>
      <c r="S36" s="228"/>
      <c r="T36" s="9"/>
      <c r="U36" s="9"/>
      <c r="V36" s="227"/>
      <c r="W36" s="228"/>
      <c r="X36" s="227"/>
      <c r="Y36" s="229"/>
      <c r="Z36" s="230" t="s">
        <v>133</v>
      </c>
      <c r="AA36" s="228"/>
      <c r="AB36" s="9" t="s">
        <v>133</v>
      </c>
      <c r="AC36" s="9"/>
      <c r="AD36" s="9"/>
      <c r="AE36" s="11"/>
      <c r="AF36" s="10"/>
      <c r="AG36" s="227"/>
      <c r="AH36" s="228"/>
      <c r="AI36" s="9"/>
      <c r="AJ36" s="9"/>
      <c r="AK36" s="227"/>
      <c r="AL36" s="229"/>
      <c r="AM36" s="212">
        <f t="shared" si="2"/>
        <v>2</v>
      </c>
      <c r="AN36" s="213"/>
      <c r="AO36" s="212">
        <f t="shared" si="3"/>
        <v>9</v>
      </c>
      <c r="AP36" s="213"/>
      <c r="AQ36" s="214" t="s">
        <v>5</v>
      </c>
      <c r="AR36" s="215"/>
      <c r="AS36" s="215"/>
      <c r="AT36" s="215"/>
      <c r="AU36" s="216"/>
      <c r="AW36" s="8"/>
      <c r="AY36" s="7"/>
    </row>
    <row r="37" spans="1:51" ht="19.899999999999999" customHeight="1">
      <c r="A37" s="220">
        <v>8</v>
      </c>
      <c r="B37" s="221"/>
      <c r="C37" s="231" t="s">
        <v>116</v>
      </c>
      <c r="D37" s="232"/>
      <c r="E37" s="233"/>
      <c r="F37" s="230" t="s">
        <v>5</v>
      </c>
      <c r="G37" s="228"/>
      <c r="H37" s="9" t="s">
        <v>5</v>
      </c>
      <c r="I37" s="9" t="s">
        <v>5</v>
      </c>
      <c r="J37" s="9" t="s">
        <v>5</v>
      </c>
      <c r="K37" s="11" t="s">
        <v>5</v>
      </c>
      <c r="L37" s="230"/>
      <c r="M37" s="228"/>
      <c r="N37" s="9"/>
      <c r="O37" s="9"/>
      <c r="P37" s="9"/>
      <c r="Q37" s="11"/>
      <c r="R37" s="230"/>
      <c r="S37" s="228"/>
      <c r="T37" s="9"/>
      <c r="U37" s="9"/>
      <c r="V37" s="227"/>
      <c r="W37" s="228"/>
      <c r="X37" s="227"/>
      <c r="Y37" s="229"/>
      <c r="Z37" s="230"/>
      <c r="AA37" s="228"/>
      <c r="AB37" s="9"/>
      <c r="AC37" s="9"/>
      <c r="AD37" s="9"/>
      <c r="AE37" s="11"/>
      <c r="AF37" s="10" t="s">
        <v>133</v>
      </c>
      <c r="AG37" s="227"/>
      <c r="AH37" s="228"/>
      <c r="AI37" s="9"/>
      <c r="AJ37" s="9"/>
      <c r="AK37" s="227"/>
      <c r="AL37" s="229"/>
      <c r="AM37" s="212">
        <f t="shared" si="2"/>
        <v>1</v>
      </c>
      <c r="AN37" s="213"/>
      <c r="AO37" s="212">
        <f t="shared" si="3"/>
        <v>10</v>
      </c>
      <c r="AP37" s="213"/>
      <c r="AQ37" s="214" t="s">
        <v>5</v>
      </c>
      <c r="AR37" s="215"/>
      <c r="AS37" s="215"/>
      <c r="AT37" s="215"/>
      <c r="AU37" s="216"/>
      <c r="AW37" s="8"/>
      <c r="AY37" s="7"/>
    </row>
    <row r="38" spans="1:51" ht="19.899999999999999" customHeight="1">
      <c r="A38" s="220">
        <v>9</v>
      </c>
      <c r="B38" s="221"/>
      <c r="C38" s="231" t="s">
        <v>117</v>
      </c>
      <c r="D38" s="232"/>
      <c r="E38" s="233"/>
      <c r="F38" s="230" t="s">
        <v>5</v>
      </c>
      <c r="G38" s="228"/>
      <c r="H38" s="9" t="s">
        <v>5</v>
      </c>
      <c r="I38" s="9" t="s">
        <v>5</v>
      </c>
      <c r="J38" s="9" t="s">
        <v>5</v>
      </c>
      <c r="K38" s="11" t="s">
        <v>5</v>
      </c>
      <c r="L38" s="230"/>
      <c r="M38" s="228"/>
      <c r="N38" s="9"/>
      <c r="O38" s="9"/>
      <c r="P38" s="9"/>
      <c r="Q38" s="11"/>
      <c r="R38" s="230"/>
      <c r="S38" s="228"/>
      <c r="T38" s="9"/>
      <c r="U38" s="9"/>
      <c r="V38" s="227"/>
      <c r="W38" s="228"/>
      <c r="X38" s="227"/>
      <c r="Y38" s="229"/>
      <c r="Z38" s="230"/>
      <c r="AA38" s="228"/>
      <c r="AB38" s="9"/>
      <c r="AC38" s="9"/>
      <c r="AD38" s="9"/>
      <c r="AE38" s="11"/>
      <c r="AF38" s="10"/>
      <c r="AG38" s="227"/>
      <c r="AH38" s="228"/>
      <c r="AI38" s="9"/>
      <c r="AJ38" s="9"/>
      <c r="AK38" s="227"/>
      <c r="AL38" s="229"/>
      <c r="AM38" s="212">
        <f t="shared" si="2"/>
        <v>0</v>
      </c>
      <c r="AN38" s="213"/>
      <c r="AO38" s="212">
        <f t="shared" si="3"/>
        <v>11</v>
      </c>
      <c r="AP38" s="213"/>
      <c r="AQ38" s="214" t="s">
        <v>5</v>
      </c>
      <c r="AR38" s="215"/>
      <c r="AS38" s="215"/>
      <c r="AT38" s="215"/>
      <c r="AU38" s="216"/>
      <c r="AW38" s="8"/>
      <c r="AY38" s="7"/>
    </row>
    <row r="39" spans="1:51" ht="19.899999999999999" customHeight="1">
      <c r="A39" s="220">
        <v>10</v>
      </c>
      <c r="B39" s="221"/>
      <c r="C39" s="231" t="s">
        <v>118</v>
      </c>
      <c r="D39" s="232"/>
      <c r="E39" s="233"/>
      <c r="F39" s="230" t="s">
        <v>5</v>
      </c>
      <c r="G39" s="228"/>
      <c r="H39" s="9" t="s">
        <v>5</v>
      </c>
      <c r="I39" s="9" t="s">
        <v>5</v>
      </c>
      <c r="J39" s="9" t="s">
        <v>5</v>
      </c>
      <c r="K39" s="11" t="s">
        <v>5</v>
      </c>
      <c r="L39" s="230"/>
      <c r="M39" s="228"/>
      <c r="N39" s="9"/>
      <c r="O39" s="9"/>
      <c r="P39" s="9"/>
      <c r="Q39" s="11"/>
      <c r="R39" s="230"/>
      <c r="S39" s="228"/>
      <c r="T39" s="9"/>
      <c r="U39" s="9"/>
      <c r="V39" s="227"/>
      <c r="W39" s="228"/>
      <c r="X39" s="227"/>
      <c r="Y39" s="229"/>
      <c r="Z39" s="230"/>
      <c r="AA39" s="228"/>
      <c r="AB39" s="9"/>
      <c r="AC39" s="9"/>
      <c r="AD39" s="9"/>
      <c r="AE39" s="11"/>
      <c r="AF39" s="10"/>
      <c r="AG39" s="227"/>
      <c r="AH39" s="228"/>
      <c r="AI39" s="9"/>
      <c r="AJ39" s="9"/>
      <c r="AK39" s="227"/>
      <c r="AL39" s="229"/>
      <c r="AM39" s="212">
        <f t="shared" si="2"/>
        <v>0</v>
      </c>
      <c r="AN39" s="213"/>
      <c r="AO39" s="212">
        <f t="shared" si="3"/>
        <v>11</v>
      </c>
      <c r="AP39" s="213"/>
      <c r="AQ39" s="214" t="s">
        <v>5</v>
      </c>
      <c r="AR39" s="215"/>
      <c r="AS39" s="215"/>
      <c r="AT39" s="215"/>
      <c r="AU39" s="216"/>
      <c r="AW39" s="8"/>
      <c r="AY39" s="7"/>
    </row>
    <row r="40" spans="1:51" ht="19.899999999999999" customHeight="1">
      <c r="A40" s="220">
        <v>11</v>
      </c>
      <c r="B40" s="221"/>
      <c r="C40" s="231" t="s">
        <v>119</v>
      </c>
      <c r="D40" s="232"/>
      <c r="E40" s="233"/>
      <c r="F40" s="230" t="s">
        <v>5</v>
      </c>
      <c r="G40" s="228"/>
      <c r="H40" s="9" t="s">
        <v>5</v>
      </c>
      <c r="I40" s="9" t="s">
        <v>5</v>
      </c>
      <c r="J40" s="9" t="s">
        <v>5</v>
      </c>
      <c r="K40" s="11" t="s">
        <v>5</v>
      </c>
      <c r="L40" s="230"/>
      <c r="M40" s="228"/>
      <c r="N40" s="9"/>
      <c r="O40" s="9"/>
      <c r="P40" s="9"/>
      <c r="Q40" s="11"/>
      <c r="R40" s="230"/>
      <c r="S40" s="228"/>
      <c r="T40" s="9"/>
      <c r="U40" s="9"/>
      <c r="V40" s="227"/>
      <c r="W40" s="228"/>
      <c r="X40" s="227"/>
      <c r="Y40" s="229"/>
      <c r="Z40" s="230"/>
      <c r="AA40" s="228"/>
      <c r="AB40" s="9"/>
      <c r="AC40" s="9"/>
      <c r="AD40" s="9" t="s">
        <v>133</v>
      </c>
      <c r="AE40" s="11"/>
      <c r="AF40" s="10"/>
      <c r="AG40" s="227"/>
      <c r="AH40" s="228"/>
      <c r="AI40" s="9"/>
      <c r="AJ40" s="9"/>
      <c r="AK40" s="227"/>
      <c r="AL40" s="229"/>
      <c r="AM40" s="212">
        <f t="shared" si="2"/>
        <v>1</v>
      </c>
      <c r="AN40" s="213"/>
      <c r="AO40" s="212">
        <f t="shared" si="3"/>
        <v>10</v>
      </c>
      <c r="AP40" s="213"/>
      <c r="AQ40" s="214" t="s">
        <v>5</v>
      </c>
      <c r="AR40" s="215"/>
      <c r="AS40" s="215"/>
      <c r="AT40" s="215"/>
      <c r="AU40" s="216"/>
      <c r="AW40" s="8"/>
      <c r="AY40" s="7"/>
    </row>
    <row r="41" spans="1:51" ht="19.899999999999999" customHeight="1">
      <c r="A41" s="220">
        <v>12</v>
      </c>
      <c r="B41" s="221"/>
      <c r="C41" s="231" t="s">
        <v>120</v>
      </c>
      <c r="D41" s="232"/>
      <c r="E41" s="233"/>
      <c r="F41" s="230" t="s">
        <v>5</v>
      </c>
      <c r="G41" s="228"/>
      <c r="H41" s="9" t="s">
        <v>5</v>
      </c>
      <c r="I41" s="9" t="s">
        <v>5</v>
      </c>
      <c r="J41" s="9" t="s">
        <v>5</v>
      </c>
      <c r="K41" s="11" t="s">
        <v>5</v>
      </c>
      <c r="L41" s="230"/>
      <c r="M41" s="228"/>
      <c r="N41" s="9"/>
      <c r="O41" s="9"/>
      <c r="P41" s="9"/>
      <c r="Q41" s="11"/>
      <c r="R41" s="230"/>
      <c r="S41" s="228"/>
      <c r="T41" s="9"/>
      <c r="U41" s="9"/>
      <c r="V41" s="227"/>
      <c r="W41" s="228"/>
      <c r="X41" s="227"/>
      <c r="Y41" s="229"/>
      <c r="Z41" s="230"/>
      <c r="AA41" s="228"/>
      <c r="AB41" s="9"/>
      <c r="AC41" s="9"/>
      <c r="AD41" s="9"/>
      <c r="AE41" s="11"/>
      <c r="AF41" s="10"/>
      <c r="AG41" s="227"/>
      <c r="AH41" s="228"/>
      <c r="AI41" s="9"/>
      <c r="AJ41" s="9"/>
      <c r="AK41" s="227"/>
      <c r="AL41" s="229"/>
      <c r="AM41" s="212">
        <f t="shared" si="2"/>
        <v>0</v>
      </c>
      <c r="AN41" s="213"/>
      <c r="AO41" s="212">
        <f t="shared" si="3"/>
        <v>11</v>
      </c>
      <c r="AP41" s="213"/>
      <c r="AQ41" s="214" t="s">
        <v>5</v>
      </c>
      <c r="AR41" s="215"/>
      <c r="AS41" s="215"/>
      <c r="AT41" s="215"/>
      <c r="AU41" s="216"/>
      <c r="AW41" s="8"/>
      <c r="AY41" s="7"/>
    </row>
    <row r="42" spans="1:51" ht="19.899999999999999" customHeight="1">
      <c r="A42" s="220">
        <v>13</v>
      </c>
      <c r="B42" s="221"/>
      <c r="C42" s="231" t="s">
        <v>121</v>
      </c>
      <c r="D42" s="232"/>
      <c r="E42" s="233"/>
      <c r="F42" s="230" t="s">
        <v>5</v>
      </c>
      <c r="G42" s="228"/>
      <c r="H42" s="9" t="s">
        <v>5</v>
      </c>
      <c r="I42" s="9" t="s">
        <v>5</v>
      </c>
      <c r="J42" s="9" t="s">
        <v>5</v>
      </c>
      <c r="K42" s="11" t="s">
        <v>5</v>
      </c>
      <c r="L42" s="230"/>
      <c r="M42" s="228"/>
      <c r="N42" s="9"/>
      <c r="O42" s="9"/>
      <c r="P42" s="9"/>
      <c r="Q42" s="11"/>
      <c r="R42" s="230"/>
      <c r="S42" s="228"/>
      <c r="T42" s="9"/>
      <c r="U42" s="9"/>
      <c r="V42" s="227"/>
      <c r="W42" s="228"/>
      <c r="X42" s="227"/>
      <c r="Y42" s="229"/>
      <c r="Z42" s="230"/>
      <c r="AA42" s="228"/>
      <c r="AB42" s="9"/>
      <c r="AC42" s="9"/>
      <c r="AD42" s="9"/>
      <c r="AE42" s="11"/>
      <c r="AF42" s="10"/>
      <c r="AG42" s="227"/>
      <c r="AH42" s="228"/>
      <c r="AI42" s="9"/>
      <c r="AJ42" s="9"/>
      <c r="AK42" s="227"/>
      <c r="AL42" s="229"/>
      <c r="AM42" s="212">
        <f t="shared" si="2"/>
        <v>0</v>
      </c>
      <c r="AN42" s="213"/>
      <c r="AO42" s="212">
        <f t="shared" si="3"/>
        <v>11</v>
      </c>
      <c r="AP42" s="213"/>
      <c r="AQ42" s="214" t="s">
        <v>5</v>
      </c>
      <c r="AR42" s="215"/>
      <c r="AS42" s="215"/>
      <c r="AT42" s="215"/>
      <c r="AU42" s="216"/>
      <c r="AW42" s="8"/>
      <c r="AY42" s="7"/>
    </row>
    <row r="43" spans="1:51" ht="19.899999999999999" customHeight="1" thickBot="1">
      <c r="A43" s="220">
        <v>14</v>
      </c>
      <c r="B43" s="221"/>
      <c r="C43" s="231" t="s">
        <v>122</v>
      </c>
      <c r="D43" s="232"/>
      <c r="E43" s="233"/>
      <c r="F43" s="230" t="s">
        <v>5</v>
      </c>
      <c r="G43" s="228"/>
      <c r="H43" s="9" t="s">
        <v>5</v>
      </c>
      <c r="I43" s="9" t="s">
        <v>5</v>
      </c>
      <c r="J43" s="9" t="s">
        <v>5</v>
      </c>
      <c r="K43" s="11" t="s">
        <v>5</v>
      </c>
      <c r="L43" s="230"/>
      <c r="M43" s="228"/>
      <c r="N43" s="9"/>
      <c r="O43" s="9"/>
      <c r="P43" s="9"/>
      <c r="Q43" s="11"/>
      <c r="R43" s="230"/>
      <c r="S43" s="228"/>
      <c r="T43" s="9"/>
      <c r="U43" s="9"/>
      <c r="V43" s="227"/>
      <c r="W43" s="228"/>
      <c r="X43" s="227"/>
      <c r="Y43" s="229"/>
      <c r="Z43" s="230"/>
      <c r="AA43" s="228"/>
      <c r="AB43" s="9"/>
      <c r="AC43" s="9"/>
      <c r="AD43" s="9"/>
      <c r="AE43" s="11"/>
      <c r="AF43" s="10"/>
      <c r="AG43" s="227"/>
      <c r="AH43" s="228"/>
      <c r="AI43" s="9"/>
      <c r="AJ43" s="9"/>
      <c r="AK43" s="227"/>
      <c r="AL43" s="229"/>
      <c r="AM43" s="212">
        <f t="shared" si="2"/>
        <v>0</v>
      </c>
      <c r="AN43" s="213"/>
      <c r="AO43" s="212">
        <f t="shared" si="3"/>
        <v>11</v>
      </c>
      <c r="AP43" s="213"/>
      <c r="AQ43" s="214" t="s">
        <v>5</v>
      </c>
      <c r="AR43" s="215"/>
      <c r="AS43" s="215"/>
      <c r="AT43" s="215"/>
      <c r="AU43" s="216"/>
      <c r="AW43" s="8"/>
      <c r="AY43" s="7"/>
    </row>
    <row r="44" spans="1:51" ht="18.75" customHeight="1" thickBot="1">
      <c r="A44" s="220"/>
      <c r="B44" s="221"/>
      <c r="C44" s="222"/>
      <c r="D44" s="223"/>
      <c r="E44" s="224"/>
      <c r="F44" s="230" t="s">
        <v>5</v>
      </c>
      <c r="G44" s="228"/>
      <c r="H44" s="9" t="s">
        <v>5</v>
      </c>
      <c r="I44" s="9" t="s">
        <v>5</v>
      </c>
      <c r="J44" s="9" t="s">
        <v>5</v>
      </c>
      <c r="K44" s="11" t="s">
        <v>5</v>
      </c>
      <c r="L44" s="230"/>
      <c r="M44" s="228"/>
      <c r="N44" s="9"/>
      <c r="O44" s="9"/>
      <c r="P44" s="9"/>
      <c r="Q44" s="11"/>
      <c r="R44" s="230"/>
      <c r="S44" s="228"/>
      <c r="T44" s="9"/>
      <c r="U44" s="9"/>
      <c r="V44" s="227"/>
      <c r="W44" s="228"/>
      <c r="X44" s="227"/>
      <c r="Y44" s="229"/>
      <c r="Z44" s="230"/>
      <c r="AA44" s="228"/>
      <c r="AB44" s="9"/>
      <c r="AC44" s="9"/>
      <c r="AD44" s="9"/>
      <c r="AE44" s="11"/>
      <c r="AF44" s="10"/>
      <c r="AG44" s="227"/>
      <c r="AH44" s="228"/>
      <c r="AI44" s="9"/>
      <c r="AJ44" s="9"/>
      <c r="AK44" s="227"/>
      <c r="AL44" s="229"/>
      <c r="AM44" s="212">
        <f t="shared" si="2"/>
        <v>0</v>
      </c>
      <c r="AN44" s="213"/>
      <c r="AO44" s="212">
        <f t="shared" si="3"/>
        <v>11</v>
      </c>
      <c r="AP44" s="213"/>
      <c r="AQ44" s="214" t="s">
        <v>5</v>
      </c>
      <c r="AR44" s="215"/>
      <c r="AS44" s="215"/>
      <c r="AT44" s="215"/>
      <c r="AU44" s="216"/>
      <c r="AW44" s="8"/>
      <c r="AY44" s="7"/>
    </row>
    <row r="45" spans="1:51" ht="19.5" hidden="1" customHeight="1" thickBot="1">
      <c r="A45" s="220">
        <v>16</v>
      </c>
      <c r="B45" s="221"/>
      <c r="C45" s="222"/>
      <c r="D45" s="223"/>
      <c r="E45" s="224"/>
      <c r="F45" s="230" t="s">
        <v>5</v>
      </c>
      <c r="G45" s="228"/>
      <c r="H45" s="9" t="s">
        <v>5</v>
      </c>
      <c r="I45" s="9" t="s">
        <v>5</v>
      </c>
      <c r="J45" s="9" t="s">
        <v>5</v>
      </c>
      <c r="K45" s="11" t="s">
        <v>5</v>
      </c>
      <c r="L45" s="230"/>
      <c r="M45" s="228"/>
      <c r="N45" s="9"/>
      <c r="O45" s="9"/>
      <c r="P45" s="9"/>
      <c r="Q45" s="11"/>
      <c r="R45" s="230"/>
      <c r="S45" s="228"/>
      <c r="T45" s="9"/>
      <c r="U45" s="9"/>
      <c r="V45" s="227"/>
      <c r="W45" s="228"/>
      <c r="X45" s="227"/>
      <c r="Y45" s="229"/>
      <c r="Z45" s="230"/>
      <c r="AA45" s="228"/>
      <c r="AB45" s="9"/>
      <c r="AC45" s="9"/>
      <c r="AD45" s="9"/>
      <c r="AE45" s="11"/>
      <c r="AF45" s="10"/>
      <c r="AG45" s="227"/>
      <c r="AH45" s="228"/>
      <c r="AI45" s="9"/>
      <c r="AJ45" s="9"/>
      <c r="AK45" s="227"/>
      <c r="AL45" s="229"/>
      <c r="AM45" s="212">
        <f t="shared" si="2"/>
        <v>0</v>
      </c>
      <c r="AN45" s="213"/>
      <c r="AO45" s="212">
        <f t="shared" si="3"/>
        <v>11</v>
      </c>
      <c r="AP45" s="213"/>
      <c r="AQ45" s="214" t="s">
        <v>5</v>
      </c>
      <c r="AR45" s="215"/>
      <c r="AS45" s="215"/>
      <c r="AT45" s="215"/>
      <c r="AU45" s="216"/>
      <c r="AW45" s="8"/>
      <c r="AY45" s="7"/>
    </row>
    <row r="46" spans="1:51" ht="19.5" hidden="1" customHeight="1" thickBot="1">
      <c r="A46" s="220">
        <v>17</v>
      </c>
      <c r="B46" s="221"/>
      <c r="C46" s="222"/>
      <c r="D46" s="223"/>
      <c r="E46" s="224"/>
      <c r="F46" s="230" t="s">
        <v>5</v>
      </c>
      <c r="G46" s="228"/>
      <c r="H46" s="9" t="s">
        <v>5</v>
      </c>
      <c r="I46" s="9" t="s">
        <v>5</v>
      </c>
      <c r="J46" s="9" t="s">
        <v>5</v>
      </c>
      <c r="K46" s="11" t="s">
        <v>5</v>
      </c>
      <c r="L46" s="230"/>
      <c r="M46" s="228"/>
      <c r="N46" s="9"/>
      <c r="O46" s="9"/>
      <c r="P46" s="9"/>
      <c r="Q46" s="11"/>
      <c r="R46" s="230"/>
      <c r="S46" s="228"/>
      <c r="T46" s="9"/>
      <c r="U46" s="9"/>
      <c r="V46" s="227"/>
      <c r="W46" s="228"/>
      <c r="X46" s="227"/>
      <c r="Y46" s="229"/>
      <c r="Z46" s="230"/>
      <c r="AA46" s="228"/>
      <c r="AB46" s="9"/>
      <c r="AC46" s="9"/>
      <c r="AD46" s="9"/>
      <c r="AE46" s="11"/>
      <c r="AF46" s="10"/>
      <c r="AG46" s="227"/>
      <c r="AH46" s="228"/>
      <c r="AI46" s="9"/>
      <c r="AJ46" s="9"/>
      <c r="AK46" s="227"/>
      <c r="AL46" s="229"/>
      <c r="AM46" s="212">
        <f t="shared" si="2"/>
        <v>0</v>
      </c>
      <c r="AN46" s="213"/>
      <c r="AO46" s="212">
        <f t="shared" si="3"/>
        <v>11</v>
      </c>
      <c r="AP46" s="213"/>
      <c r="AQ46" s="214" t="s">
        <v>5</v>
      </c>
      <c r="AR46" s="215"/>
      <c r="AS46" s="215"/>
      <c r="AT46" s="215"/>
      <c r="AU46" s="216"/>
      <c r="AW46" s="8"/>
      <c r="AY46" s="7"/>
    </row>
    <row r="47" spans="1:51" ht="19.5" hidden="1" customHeight="1" thickBot="1">
      <c r="A47" s="220">
        <v>18</v>
      </c>
      <c r="B47" s="221"/>
      <c r="C47" s="222"/>
      <c r="D47" s="223"/>
      <c r="E47" s="224"/>
      <c r="F47" s="230" t="s">
        <v>5</v>
      </c>
      <c r="G47" s="228"/>
      <c r="H47" s="9" t="s">
        <v>5</v>
      </c>
      <c r="I47" s="9" t="s">
        <v>5</v>
      </c>
      <c r="J47" s="9" t="s">
        <v>5</v>
      </c>
      <c r="K47" s="11" t="s">
        <v>5</v>
      </c>
      <c r="L47" s="230"/>
      <c r="M47" s="228"/>
      <c r="N47" s="9"/>
      <c r="O47" s="9"/>
      <c r="P47" s="9"/>
      <c r="Q47" s="11"/>
      <c r="R47" s="230"/>
      <c r="S47" s="228"/>
      <c r="T47" s="9"/>
      <c r="U47" s="9"/>
      <c r="V47" s="227"/>
      <c r="W47" s="228"/>
      <c r="X47" s="227"/>
      <c r="Y47" s="229"/>
      <c r="Z47" s="230"/>
      <c r="AA47" s="228"/>
      <c r="AB47" s="9"/>
      <c r="AC47" s="9"/>
      <c r="AD47" s="9"/>
      <c r="AE47" s="11"/>
      <c r="AF47" s="10"/>
      <c r="AG47" s="227"/>
      <c r="AH47" s="228"/>
      <c r="AI47" s="9"/>
      <c r="AJ47" s="9"/>
      <c r="AK47" s="227"/>
      <c r="AL47" s="229"/>
      <c r="AM47" s="212">
        <f t="shared" si="2"/>
        <v>0</v>
      </c>
      <c r="AN47" s="213"/>
      <c r="AO47" s="212">
        <f t="shared" si="3"/>
        <v>11</v>
      </c>
      <c r="AP47" s="213"/>
      <c r="AQ47" s="214" t="s">
        <v>5</v>
      </c>
      <c r="AR47" s="215"/>
      <c r="AS47" s="215"/>
      <c r="AT47" s="215"/>
      <c r="AU47" s="216"/>
      <c r="AW47" s="8"/>
      <c r="AY47" s="7"/>
    </row>
    <row r="48" spans="1:51" ht="19.5" hidden="1" customHeight="1" thickBot="1">
      <c r="A48" s="220">
        <v>19</v>
      </c>
      <c r="B48" s="221"/>
      <c r="C48" s="222"/>
      <c r="D48" s="223"/>
      <c r="E48" s="224"/>
      <c r="F48" s="225" t="s">
        <v>5</v>
      </c>
      <c r="G48" s="198"/>
      <c r="H48" s="16" t="s">
        <v>5</v>
      </c>
      <c r="I48" s="16" t="s">
        <v>5</v>
      </c>
      <c r="J48" s="16" t="s">
        <v>5</v>
      </c>
      <c r="K48" s="17" t="s">
        <v>5</v>
      </c>
      <c r="L48" s="226"/>
      <c r="M48" s="210"/>
      <c r="N48" s="16"/>
      <c r="O48" s="16"/>
      <c r="P48" s="16"/>
      <c r="Q48" s="17"/>
      <c r="R48" s="226"/>
      <c r="S48" s="210"/>
      <c r="T48" s="16"/>
      <c r="U48" s="16"/>
      <c r="V48" s="209"/>
      <c r="W48" s="210"/>
      <c r="X48" s="209"/>
      <c r="Y48" s="211"/>
      <c r="Z48" s="226"/>
      <c r="AA48" s="210"/>
      <c r="AB48" s="16"/>
      <c r="AC48" s="16"/>
      <c r="AD48" s="16"/>
      <c r="AE48" s="17"/>
      <c r="AF48" s="15"/>
      <c r="AG48" s="209"/>
      <c r="AH48" s="210"/>
      <c r="AI48" s="16"/>
      <c r="AJ48" s="16"/>
      <c r="AK48" s="209"/>
      <c r="AL48" s="211"/>
      <c r="AM48" s="212">
        <f t="shared" si="2"/>
        <v>0</v>
      </c>
      <c r="AN48" s="213"/>
      <c r="AO48" s="212">
        <f t="shared" si="3"/>
        <v>11</v>
      </c>
      <c r="AP48" s="213"/>
      <c r="AQ48" s="214" t="s">
        <v>5</v>
      </c>
      <c r="AR48" s="215"/>
      <c r="AS48" s="215"/>
      <c r="AT48" s="215"/>
      <c r="AU48" s="216"/>
      <c r="AW48" s="217" t="s">
        <v>75</v>
      </c>
      <c r="AX48" s="218"/>
      <c r="AY48" s="219"/>
    </row>
    <row r="49" spans="1:51" ht="19.899999999999999" customHeight="1" thickTop="1" thickBot="1">
      <c r="A49" s="187">
        <v>14</v>
      </c>
      <c r="B49" s="188"/>
      <c r="C49" s="205" t="s">
        <v>22</v>
      </c>
      <c r="D49" s="206"/>
      <c r="E49" s="206"/>
      <c r="F49" s="207"/>
      <c r="G49" s="208"/>
      <c r="H49" s="28"/>
      <c r="I49" s="28"/>
      <c r="J49" s="28"/>
      <c r="K49" s="28"/>
      <c r="L49" s="200"/>
      <c r="M49" s="208"/>
      <c r="N49" s="28"/>
      <c r="O49" s="28"/>
      <c r="P49" s="28"/>
      <c r="Q49" s="28"/>
      <c r="R49" s="200">
        <v>13</v>
      </c>
      <c r="S49" s="208"/>
      <c r="T49" s="28">
        <v>14</v>
      </c>
      <c r="U49" s="28">
        <v>13</v>
      </c>
      <c r="V49" s="200">
        <v>14</v>
      </c>
      <c r="W49" s="208"/>
      <c r="X49" s="200">
        <v>14</v>
      </c>
      <c r="Y49" s="169"/>
      <c r="Z49" s="201">
        <v>12</v>
      </c>
      <c r="AA49" s="193"/>
      <c r="AB49" s="18">
        <v>12</v>
      </c>
      <c r="AC49" s="18">
        <v>14</v>
      </c>
      <c r="AD49" s="18">
        <v>13</v>
      </c>
      <c r="AE49" s="21">
        <v>14</v>
      </c>
      <c r="AF49" s="22">
        <v>13</v>
      </c>
      <c r="AG49" s="202"/>
      <c r="AH49" s="202"/>
      <c r="AI49" s="23"/>
      <c r="AJ49" s="23"/>
      <c r="AK49" s="203"/>
      <c r="AL49" s="204"/>
      <c r="AM49" s="170">
        <f>SUM(AM30:AN48)</f>
        <v>8</v>
      </c>
      <c r="AN49" s="171"/>
      <c r="AO49" s="172">
        <f>AY49-AM49</f>
        <v>146</v>
      </c>
      <c r="AP49" s="171"/>
      <c r="AQ49" s="173" t="s">
        <v>5</v>
      </c>
      <c r="AR49" s="174"/>
      <c r="AS49" s="174"/>
      <c r="AT49" s="174"/>
      <c r="AU49" s="175"/>
      <c r="AW49" s="12">
        <f>AW29</f>
        <v>11</v>
      </c>
      <c r="AX49" s="40">
        <v>14</v>
      </c>
      <c r="AY49" s="7">
        <f>AW49*AX49</f>
        <v>154</v>
      </c>
    </row>
    <row r="50" spans="1:51" ht="19.899999999999999" customHeight="1" thickBot="1">
      <c r="A50" s="187">
        <v>26</v>
      </c>
      <c r="B50" s="188"/>
      <c r="C50" s="189" t="s">
        <v>23</v>
      </c>
      <c r="D50" s="190"/>
      <c r="E50" s="191"/>
      <c r="F50" s="192">
        <f>F49+F29</f>
        <v>0</v>
      </c>
      <c r="G50" s="193"/>
      <c r="H50" s="27">
        <f>H49+H29</f>
        <v>0</v>
      </c>
      <c r="I50" s="27">
        <f>I49+I29</f>
        <v>0</v>
      </c>
      <c r="J50" s="27">
        <f>J49+J29</f>
        <v>0</v>
      </c>
      <c r="K50" s="27">
        <f>K29+K49</f>
        <v>0</v>
      </c>
      <c r="L50" s="194">
        <f>L29+L49</f>
        <v>0</v>
      </c>
      <c r="M50" s="195"/>
      <c r="N50" s="27">
        <f>N29+N49</f>
        <v>0</v>
      </c>
      <c r="O50" s="27">
        <f>O29+O49</f>
        <v>0</v>
      </c>
      <c r="P50" s="27">
        <f>P29+P49</f>
        <v>0</v>
      </c>
      <c r="Q50" s="27">
        <f>Q29+Q49</f>
        <v>0</v>
      </c>
      <c r="R50" s="194">
        <f>R29+R49</f>
        <v>24</v>
      </c>
      <c r="S50" s="195"/>
      <c r="T50" s="27">
        <f>T29+T49</f>
        <v>25</v>
      </c>
      <c r="U50" s="27">
        <f>U29+U49</f>
        <v>24</v>
      </c>
      <c r="V50" s="194">
        <f>V29+V49</f>
        <v>26</v>
      </c>
      <c r="W50" s="195"/>
      <c r="X50" s="194">
        <f>X29+X49</f>
        <v>25</v>
      </c>
      <c r="Y50" s="196"/>
      <c r="Z50" s="197">
        <f>Z29+Z49</f>
        <v>24</v>
      </c>
      <c r="AA50" s="198"/>
      <c r="AB50" s="19">
        <f t="shared" ref="AB50:AG50" si="4">AB29+AB49</f>
        <v>24</v>
      </c>
      <c r="AC50" s="19">
        <f t="shared" si="4"/>
        <v>26</v>
      </c>
      <c r="AD50" s="20">
        <f t="shared" si="4"/>
        <v>24</v>
      </c>
      <c r="AE50" s="24">
        <f t="shared" si="4"/>
        <v>26</v>
      </c>
      <c r="AF50" s="25">
        <f t="shared" si="4"/>
        <v>25</v>
      </c>
      <c r="AG50" s="199">
        <f t="shared" si="4"/>
        <v>0</v>
      </c>
      <c r="AH50" s="199"/>
      <c r="AI50" s="26">
        <f>AI49+AI29</f>
        <v>0</v>
      </c>
      <c r="AJ50" s="26">
        <f>AJ49+AJ29</f>
        <v>0</v>
      </c>
      <c r="AK50" s="168"/>
      <c r="AL50" s="169"/>
      <c r="AM50" s="170">
        <f>AM29+AM49</f>
        <v>13</v>
      </c>
      <c r="AN50" s="171"/>
      <c r="AO50" s="172">
        <f>AO29+AO49</f>
        <v>273</v>
      </c>
      <c r="AP50" s="171"/>
      <c r="AQ50" s="173" t="s">
        <v>5</v>
      </c>
      <c r="AR50" s="174"/>
      <c r="AS50" s="174"/>
      <c r="AT50" s="174"/>
      <c r="AU50" s="175"/>
      <c r="AW50" s="6"/>
      <c r="AX50" s="5"/>
      <c r="AY50" s="4"/>
    </row>
    <row r="51" spans="1:51" ht="10.15" customHeight="1">
      <c r="A51" s="176" t="s">
        <v>24</v>
      </c>
      <c r="B51" s="72"/>
      <c r="C51" s="72"/>
      <c r="D51" s="72"/>
      <c r="E51" s="72"/>
      <c r="F51" s="72"/>
      <c r="G51" s="72"/>
      <c r="H51" s="72"/>
      <c r="I51" s="72"/>
      <c r="J51" s="72"/>
      <c r="K51" s="72"/>
      <c r="L51" s="72"/>
      <c r="M51" s="72"/>
      <c r="N51" s="72"/>
      <c r="O51" s="72"/>
      <c r="P51" s="72"/>
      <c r="Q51" s="72"/>
      <c r="R51" s="72"/>
      <c r="S51" s="72"/>
      <c r="T51" s="72"/>
      <c r="U51" s="72"/>
      <c r="V51" s="72"/>
      <c r="W51" s="72"/>
      <c r="X51" s="72"/>
      <c r="Y51" s="1"/>
      <c r="Z51" s="82" t="s">
        <v>25</v>
      </c>
      <c r="AA51" s="83"/>
      <c r="AB51" s="83"/>
      <c r="AC51" s="83"/>
      <c r="AD51" s="83"/>
      <c r="AE51" s="83"/>
      <c r="AF51" s="83"/>
      <c r="AG51" s="83"/>
      <c r="AH51" s="83"/>
      <c r="AI51" s="83"/>
      <c r="AJ51" s="83"/>
      <c r="AK51" s="84"/>
      <c r="AL51" s="1"/>
      <c r="AM51" s="177" t="s">
        <v>26</v>
      </c>
      <c r="AN51" s="178"/>
      <c r="AO51" s="179"/>
      <c r="AP51" s="177" t="s">
        <v>27</v>
      </c>
      <c r="AQ51" s="179"/>
      <c r="AR51" s="183" t="s">
        <v>28</v>
      </c>
      <c r="AS51" s="184"/>
      <c r="AT51" s="184"/>
      <c r="AU51" s="185"/>
    </row>
    <row r="52" spans="1:51" ht="10.15" customHeight="1" thickBot="1">
      <c r="A52" s="186" t="s">
        <v>29</v>
      </c>
      <c r="B52" s="72"/>
      <c r="C52" s="72"/>
      <c r="D52" s="72"/>
      <c r="E52" s="72"/>
      <c r="F52" s="72"/>
      <c r="G52" s="72"/>
      <c r="H52" s="72"/>
      <c r="I52" s="72"/>
      <c r="J52" s="72"/>
      <c r="K52" s="72"/>
      <c r="L52" s="72"/>
      <c r="M52" s="72"/>
      <c r="N52" s="72"/>
      <c r="O52" s="72"/>
      <c r="P52" s="72"/>
      <c r="Q52" s="72"/>
      <c r="R52" s="72"/>
      <c r="S52" s="72"/>
      <c r="T52" s="72"/>
      <c r="U52" s="72"/>
      <c r="V52" s="72"/>
      <c r="W52" s="72"/>
      <c r="X52" s="72"/>
      <c r="Y52" s="1"/>
      <c r="Z52" s="150" t="s">
        <v>30</v>
      </c>
      <c r="AA52" s="151"/>
      <c r="AB52" s="151"/>
      <c r="AC52" s="151"/>
      <c r="AD52" s="151"/>
      <c r="AE52" s="151"/>
      <c r="AF52" s="151"/>
      <c r="AG52" s="151"/>
      <c r="AH52" s="151"/>
      <c r="AI52" s="151"/>
      <c r="AJ52" s="151"/>
      <c r="AK52" s="152"/>
      <c r="AL52" s="1"/>
      <c r="AM52" s="180"/>
      <c r="AN52" s="181"/>
      <c r="AO52" s="182"/>
      <c r="AP52" s="180"/>
      <c r="AQ52" s="182"/>
      <c r="AR52" s="3" t="s">
        <v>14</v>
      </c>
      <c r="AS52" s="3" t="s">
        <v>18</v>
      </c>
      <c r="AT52" s="153" t="s">
        <v>31</v>
      </c>
      <c r="AU52" s="154"/>
    </row>
    <row r="53" spans="1:51" ht="10.15" customHeight="1">
      <c r="A53" s="72"/>
      <c r="B53" s="72"/>
      <c r="C53" s="72"/>
      <c r="D53" s="72"/>
      <c r="E53" s="72"/>
      <c r="F53" s="72"/>
      <c r="G53" s="72"/>
      <c r="H53" s="72"/>
      <c r="I53" s="72"/>
      <c r="J53" s="72"/>
      <c r="K53" s="72"/>
      <c r="L53" s="72"/>
      <c r="M53" s="72"/>
      <c r="N53" s="72"/>
      <c r="O53" s="72"/>
      <c r="P53" s="72"/>
      <c r="Q53" s="72"/>
      <c r="R53" s="72"/>
      <c r="S53" s="72"/>
      <c r="T53" s="72"/>
      <c r="U53" s="72"/>
      <c r="V53" s="72"/>
      <c r="W53" s="72"/>
      <c r="X53" s="72"/>
      <c r="Y53" s="1"/>
      <c r="Z53" s="150"/>
      <c r="AA53" s="151"/>
      <c r="AB53" s="151"/>
      <c r="AC53" s="151"/>
      <c r="AD53" s="151"/>
      <c r="AE53" s="151"/>
      <c r="AF53" s="151"/>
      <c r="AG53" s="151"/>
      <c r="AH53" s="151"/>
      <c r="AI53" s="151"/>
      <c r="AJ53" s="151"/>
      <c r="AK53" s="152"/>
      <c r="AL53" s="1"/>
      <c r="AM53" s="155" t="s">
        <v>32</v>
      </c>
      <c r="AN53" s="156"/>
      <c r="AO53" s="156"/>
      <c r="AP53" s="156"/>
      <c r="AQ53" s="157"/>
      <c r="AR53" s="161">
        <v>12</v>
      </c>
      <c r="AS53" s="140">
        <v>14</v>
      </c>
      <c r="AT53" s="60">
        <f>AR53+AS53</f>
        <v>26</v>
      </c>
      <c r="AU53" s="61"/>
    </row>
    <row r="54" spans="1:51" ht="4.9000000000000004" customHeight="1">
      <c r="A54" s="72"/>
      <c r="B54" s="72"/>
      <c r="C54" s="72"/>
      <c r="D54" s="72"/>
      <c r="E54" s="72"/>
      <c r="F54" s="72"/>
      <c r="G54" s="72"/>
      <c r="H54" s="72"/>
      <c r="I54" s="72"/>
      <c r="J54" s="72"/>
      <c r="K54" s="72"/>
      <c r="L54" s="72"/>
      <c r="M54" s="72"/>
      <c r="N54" s="72"/>
      <c r="O54" s="72"/>
      <c r="P54" s="72"/>
      <c r="Q54" s="72"/>
      <c r="R54" s="72"/>
      <c r="S54" s="72"/>
      <c r="T54" s="72"/>
      <c r="U54" s="72"/>
      <c r="V54" s="72"/>
      <c r="W54" s="72"/>
      <c r="X54" s="72"/>
      <c r="Y54" s="1"/>
      <c r="Z54" s="82" t="s">
        <v>33</v>
      </c>
      <c r="AA54" s="83"/>
      <c r="AB54" s="83"/>
      <c r="AC54" s="83"/>
      <c r="AD54" s="83"/>
      <c r="AE54" s="83"/>
      <c r="AF54" s="83"/>
      <c r="AG54" s="83"/>
      <c r="AH54" s="83"/>
      <c r="AI54" s="83"/>
      <c r="AJ54" s="83"/>
      <c r="AK54" s="84"/>
      <c r="AL54" s="1"/>
      <c r="AM54" s="158"/>
      <c r="AN54" s="159"/>
      <c r="AO54" s="159"/>
      <c r="AP54" s="159"/>
      <c r="AQ54" s="160"/>
      <c r="AR54" s="162"/>
      <c r="AS54" s="142"/>
      <c r="AT54" s="103"/>
      <c r="AU54" s="104"/>
    </row>
    <row r="55" spans="1:51" ht="4.9000000000000004" customHeight="1">
      <c r="A55" s="72"/>
      <c r="B55" s="72"/>
      <c r="C55" s="72"/>
      <c r="D55" s="72"/>
      <c r="E55" s="72"/>
      <c r="F55" s="72"/>
      <c r="G55" s="72"/>
      <c r="H55" s="72"/>
      <c r="I55" s="72"/>
      <c r="J55" s="72"/>
      <c r="K55" s="72"/>
      <c r="L55" s="72"/>
      <c r="M55" s="72"/>
      <c r="N55" s="72"/>
      <c r="O55" s="72"/>
      <c r="P55" s="72"/>
      <c r="Q55" s="72"/>
      <c r="R55" s="72"/>
      <c r="S55" s="72"/>
      <c r="T55" s="72"/>
      <c r="U55" s="72"/>
      <c r="V55" s="72"/>
      <c r="W55" s="72"/>
      <c r="X55" s="72"/>
      <c r="Y55" s="1"/>
      <c r="Z55" s="82"/>
      <c r="AA55" s="83"/>
      <c r="AB55" s="83"/>
      <c r="AC55" s="83"/>
      <c r="AD55" s="83"/>
      <c r="AE55" s="83"/>
      <c r="AF55" s="83"/>
      <c r="AG55" s="83"/>
      <c r="AH55" s="83"/>
      <c r="AI55" s="83"/>
      <c r="AJ55" s="83"/>
      <c r="AK55" s="84"/>
      <c r="AL55" s="1"/>
      <c r="AM55" s="163" t="s">
        <v>34</v>
      </c>
      <c r="AN55" s="164"/>
      <c r="AO55" s="165"/>
      <c r="AP55" s="166" t="s">
        <v>35</v>
      </c>
      <c r="AQ55" s="167"/>
      <c r="AR55" s="140">
        <v>0</v>
      </c>
      <c r="AS55" s="140">
        <v>0</v>
      </c>
      <c r="AT55" s="143">
        <v>0</v>
      </c>
      <c r="AU55" s="144"/>
    </row>
    <row r="56" spans="1:51" ht="7.9" customHeight="1">
      <c r="A56" s="1"/>
      <c r="B56" s="133" t="s">
        <v>36</v>
      </c>
      <c r="C56" s="72"/>
      <c r="D56" s="72"/>
      <c r="E56" s="72"/>
      <c r="F56" s="72"/>
      <c r="G56" s="149" t="s">
        <v>37</v>
      </c>
      <c r="H56" s="149"/>
      <c r="I56" s="149"/>
      <c r="J56" s="149"/>
      <c r="K56" s="149"/>
      <c r="L56" s="149"/>
      <c r="M56" s="149"/>
      <c r="N56" s="149"/>
      <c r="O56" s="149"/>
      <c r="P56" s="149"/>
      <c r="Q56" s="149"/>
      <c r="R56" s="149"/>
      <c r="S56" s="149"/>
      <c r="T56" s="119" t="s">
        <v>38</v>
      </c>
      <c r="U56" s="72"/>
      <c r="V56" s="72"/>
      <c r="W56" s="1"/>
      <c r="X56" s="1"/>
      <c r="Y56" s="1"/>
      <c r="Z56" s="82" t="s">
        <v>39</v>
      </c>
      <c r="AA56" s="83"/>
      <c r="AB56" s="83"/>
      <c r="AC56" s="83"/>
      <c r="AD56" s="83"/>
      <c r="AE56" s="83"/>
      <c r="AF56" s="83"/>
      <c r="AG56" s="83"/>
      <c r="AH56" s="83"/>
      <c r="AI56" s="83"/>
      <c r="AJ56" s="83"/>
      <c r="AK56" s="84"/>
      <c r="AL56" s="1"/>
      <c r="AM56" s="163"/>
      <c r="AN56" s="164"/>
      <c r="AO56" s="165"/>
      <c r="AP56" s="166"/>
      <c r="AQ56" s="167"/>
      <c r="AR56" s="141"/>
      <c r="AS56" s="141"/>
      <c r="AT56" s="145"/>
      <c r="AU56" s="146"/>
    </row>
    <row r="57" spans="1:51" ht="1.9" customHeight="1">
      <c r="A57" s="1"/>
      <c r="B57" s="72"/>
      <c r="C57" s="72"/>
      <c r="D57" s="72"/>
      <c r="E57" s="72"/>
      <c r="F57" s="72"/>
      <c r="G57" s="134"/>
      <c r="H57" s="134"/>
      <c r="I57" s="134"/>
      <c r="J57" s="134"/>
      <c r="K57" s="134"/>
      <c r="L57" s="134"/>
      <c r="M57" s="134"/>
      <c r="N57" s="134"/>
      <c r="O57" s="134"/>
      <c r="P57" s="134"/>
      <c r="Q57" s="134"/>
      <c r="R57" s="134"/>
      <c r="S57" s="134"/>
      <c r="T57" s="72"/>
      <c r="U57" s="72"/>
      <c r="V57" s="72"/>
      <c r="W57" s="1"/>
      <c r="X57" s="1"/>
      <c r="Y57" s="1"/>
      <c r="Z57" s="82"/>
      <c r="AA57" s="83"/>
      <c r="AB57" s="83"/>
      <c r="AC57" s="83"/>
      <c r="AD57" s="83"/>
      <c r="AE57" s="83"/>
      <c r="AF57" s="83"/>
      <c r="AG57" s="83"/>
      <c r="AH57" s="83"/>
      <c r="AI57" s="83"/>
      <c r="AJ57" s="83"/>
      <c r="AK57" s="84"/>
      <c r="AL57" s="1"/>
      <c r="AM57" s="123" t="s">
        <v>40</v>
      </c>
      <c r="AN57" s="124"/>
      <c r="AO57" s="124"/>
      <c r="AP57" s="124"/>
      <c r="AQ57" s="125"/>
      <c r="AR57" s="141"/>
      <c r="AS57" s="141"/>
      <c r="AT57" s="145"/>
      <c r="AU57" s="146"/>
    </row>
    <row r="58" spans="1:51" ht="10.15" customHeight="1">
      <c r="A58" s="1"/>
      <c r="B58" s="72"/>
      <c r="C58" s="72"/>
      <c r="D58" s="72"/>
      <c r="E58" s="72"/>
      <c r="F58" s="72"/>
      <c r="G58" s="119" t="s">
        <v>41</v>
      </c>
      <c r="H58" s="72"/>
      <c r="I58" s="72"/>
      <c r="J58" s="72"/>
      <c r="K58" s="72"/>
      <c r="L58" s="72"/>
      <c r="M58" s="72"/>
      <c r="N58" s="72"/>
      <c r="O58" s="72"/>
      <c r="P58" s="72"/>
      <c r="Q58" s="72"/>
      <c r="R58" s="72"/>
      <c r="S58" s="72"/>
      <c r="T58" s="72"/>
      <c r="U58" s="72"/>
      <c r="V58" s="72"/>
      <c r="W58" s="1"/>
      <c r="X58" s="1"/>
      <c r="Y58" s="1"/>
      <c r="Z58" s="77" t="s">
        <v>42</v>
      </c>
      <c r="AA58" s="78"/>
      <c r="AB58" s="78"/>
      <c r="AC58" s="78"/>
      <c r="AD58" s="78"/>
      <c r="AE58" s="78"/>
      <c r="AF58" s="78"/>
      <c r="AG58" s="78"/>
      <c r="AH58" s="78"/>
      <c r="AI58" s="78"/>
      <c r="AJ58" s="78"/>
      <c r="AK58" s="79"/>
      <c r="AL58" s="1"/>
      <c r="AM58" s="105"/>
      <c r="AN58" s="106"/>
      <c r="AO58" s="106"/>
      <c r="AP58" s="106"/>
      <c r="AQ58" s="107"/>
      <c r="AR58" s="142"/>
      <c r="AS58" s="142"/>
      <c r="AT58" s="147"/>
      <c r="AU58" s="148"/>
    </row>
    <row r="59" spans="1:51" ht="10.15" customHeight="1">
      <c r="A59" s="1"/>
      <c r="B59" s="133" t="s">
        <v>43</v>
      </c>
      <c r="C59" s="72"/>
      <c r="D59" s="72"/>
      <c r="E59" s="72"/>
      <c r="F59" s="72"/>
      <c r="G59" s="134" t="s">
        <v>44</v>
      </c>
      <c r="H59" s="134"/>
      <c r="I59" s="134"/>
      <c r="J59" s="134"/>
      <c r="K59" s="134"/>
      <c r="L59" s="134"/>
      <c r="M59" s="134"/>
      <c r="N59" s="134"/>
      <c r="O59" s="134"/>
      <c r="P59" s="134"/>
      <c r="Q59" s="134"/>
      <c r="R59" s="134"/>
      <c r="S59" s="134"/>
      <c r="T59" s="1"/>
      <c r="U59" s="1"/>
      <c r="V59" s="1"/>
      <c r="W59" s="1"/>
      <c r="X59" s="1"/>
      <c r="Y59" s="1"/>
      <c r="Z59" s="77"/>
      <c r="AA59" s="72"/>
      <c r="AB59" s="72"/>
      <c r="AC59" s="72"/>
      <c r="AD59" s="72"/>
      <c r="AE59" s="72"/>
      <c r="AF59" s="72"/>
      <c r="AG59" s="72"/>
      <c r="AH59" s="72"/>
      <c r="AI59" s="72"/>
      <c r="AJ59" s="72"/>
      <c r="AK59" s="79"/>
      <c r="AL59" s="1"/>
      <c r="AM59" s="135" t="s">
        <v>45</v>
      </c>
      <c r="AN59" s="136"/>
      <c r="AO59" s="136"/>
      <c r="AP59" s="136"/>
      <c r="AQ59" s="137"/>
      <c r="AR59" s="66">
        <v>12</v>
      </c>
      <c r="AS59" s="66">
        <v>14</v>
      </c>
      <c r="AT59" s="60">
        <f>AR59+AS59</f>
        <v>26</v>
      </c>
      <c r="AU59" s="61"/>
    </row>
    <row r="60" spans="1:51" ht="10.15" customHeight="1">
      <c r="A60" s="1"/>
      <c r="B60" s="72"/>
      <c r="C60" s="72"/>
      <c r="D60" s="72"/>
      <c r="E60" s="72"/>
      <c r="F60" s="72"/>
      <c r="G60" s="119" t="s">
        <v>46</v>
      </c>
      <c r="H60" s="72"/>
      <c r="I60" s="72"/>
      <c r="J60" s="72"/>
      <c r="K60" s="72"/>
      <c r="L60" s="72"/>
      <c r="M60" s="72"/>
      <c r="N60" s="72"/>
      <c r="O60" s="72"/>
      <c r="P60" s="72"/>
      <c r="Q60" s="72"/>
      <c r="R60" s="72"/>
      <c r="S60" s="72"/>
      <c r="T60" s="1"/>
      <c r="U60" s="1"/>
      <c r="V60" s="1"/>
      <c r="W60" s="1"/>
      <c r="X60" s="1"/>
      <c r="Y60" s="1"/>
      <c r="Z60" s="77"/>
      <c r="AA60" s="72"/>
      <c r="AB60" s="72"/>
      <c r="AC60" s="72"/>
      <c r="AD60" s="72"/>
      <c r="AE60" s="72"/>
      <c r="AF60" s="72"/>
      <c r="AG60" s="72"/>
      <c r="AH60" s="72"/>
      <c r="AI60" s="72"/>
      <c r="AJ60" s="72"/>
      <c r="AK60" s="79"/>
      <c r="AL60" s="1"/>
      <c r="AM60" s="120" t="s">
        <v>47</v>
      </c>
      <c r="AN60" s="121"/>
      <c r="AO60" s="121"/>
      <c r="AP60" s="121"/>
      <c r="AQ60" s="122"/>
      <c r="AR60" s="102"/>
      <c r="AS60" s="102"/>
      <c r="AT60" s="103"/>
      <c r="AU60" s="104"/>
    </row>
    <row r="61" spans="1:51" ht="10.15" customHeight="1">
      <c r="A61" s="1"/>
      <c r="B61" s="133" t="s">
        <v>48</v>
      </c>
      <c r="C61" s="72"/>
      <c r="D61" s="72"/>
      <c r="E61" s="72"/>
      <c r="F61" s="72"/>
      <c r="G61" s="134" t="s">
        <v>49</v>
      </c>
      <c r="H61" s="134"/>
      <c r="I61" s="134"/>
      <c r="J61" s="134"/>
      <c r="K61" s="134"/>
      <c r="L61" s="134"/>
      <c r="M61" s="134"/>
      <c r="N61" s="134"/>
      <c r="O61" s="134"/>
      <c r="P61" s="134"/>
      <c r="Q61" s="134"/>
      <c r="R61" s="134"/>
      <c r="S61" s="134"/>
      <c r="T61" s="119" t="s">
        <v>38</v>
      </c>
      <c r="U61" s="72"/>
      <c r="V61" s="72"/>
      <c r="W61" s="1"/>
      <c r="X61" s="1"/>
      <c r="Y61" s="1"/>
      <c r="Z61" s="77"/>
      <c r="AA61" s="78"/>
      <c r="AB61" s="78"/>
      <c r="AC61" s="78"/>
      <c r="AD61" s="78"/>
      <c r="AE61" s="78"/>
      <c r="AF61" s="78"/>
      <c r="AG61" s="78"/>
      <c r="AH61" s="78"/>
      <c r="AI61" s="78"/>
      <c r="AJ61" s="78"/>
      <c r="AK61" s="79"/>
      <c r="AL61" s="1"/>
      <c r="AM61" s="135" t="s">
        <v>50</v>
      </c>
      <c r="AN61" s="136"/>
      <c r="AO61" s="136"/>
      <c r="AP61" s="136"/>
      <c r="AQ61" s="137"/>
      <c r="AR61" s="138">
        <f>AR59/AR53*100</f>
        <v>100</v>
      </c>
      <c r="AS61" s="138">
        <f>AS59/AS53*100</f>
        <v>100</v>
      </c>
      <c r="AT61" s="115">
        <f>AT59/AT53*100</f>
        <v>100</v>
      </c>
      <c r="AU61" s="116"/>
    </row>
    <row r="62" spans="1:51" ht="10.15" customHeight="1">
      <c r="A62" s="1"/>
      <c r="B62" s="72"/>
      <c r="C62" s="72"/>
      <c r="D62" s="72"/>
      <c r="E62" s="72"/>
      <c r="F62" s="72"/>
      <c r="G62" s="119" t="s">
        <v>37</v>
      </c>
      <c r="H62" s="72"/>
      <c r="I62" s="72"/>
      <c r="J62" s="72"/>
      <c r="K62" s="72"/>
      <c r="L62" s="72"/>
      <c r="M62" s="72"/>
      <c r="N62" s="72"/>
      <c r="O62" s="72"/>
      <c r="P62" s="72"/>
      <c r="Q62" s="72"/>
      <c r="R62" s="72"/>
      <c r="S62" s="72"/>
      <c r="T62" s="72"/>
      <c r="U62" s="72"/>
      <c r="V62" s="72"/>
      <c r="W62" s="1"/>
      <c r="X62" s="1"/>
      <c r="Y62" s="1"/>
      <c r="Z62" s="82" t="s">
        <v>51</v>
      </c>
      <c r="AA62" s="83"/>
      <c r="AB62" s="83"/>
      <c r="AC62" s="83"/>
      <c r="AD62" s="83"/>
      <c r="AE62" s="83"/>
      <c r="AF62" s="83"/>
      <c r="AG62" s="83"/>
      <c r="AH62" s="83"/>
      <c r="AI62" s="83"/>
      <c r="AJ62" s="83"/>
      <c r="AK62" s="84"/>
      <c r="AL62" s="1"/>
      <c r="AM62" s="120" t="s">
        <v>47</v>
      </c>
      <c r="AN62" s="121"/>
      <c r="AO62" s="121"/>
      <c r="AP62" s="121"/>
      <c r="AQ62" s="122"/>
      <c r="AR62" s="139"/>
      <c r="AS62" s="139"/>
      <c r="AT62" s="117"/>
      <c r="AU62" s="118"/>
    </row>
    <row r="63" spans="1:51" ht="10.15" customHeight="1">
      <c r="A63" s="1"/>
      <c r="B63" s="1"/>
      <c r="C63" s="1"/>
      <c r="D63" s="1"/>
      <c r="E63" s="1"/>
      <c r="F63" s="1"/>
      <c r="G63" s="1"/>
      <c r="H63" s="1"/>
      <c r="I63" s="1"/>
      <c r="J63" s="1"/>
      <c r="K63" s="1"/>
      <c r="L63" s="1"/>
      <c r="M63" s="1"/>
      <c r="N63" s="1"/>
      <c r="O63" s="1"/>
      <c r="P63" s="1"/>
      <c r="Q63" s="1"/>
      <c r="R63" s="1"/>
      <c r="S63" s="1"/>
      <c r="T63" s="1"/>
      <c r="U63" s="1"/>
      <c r="V63" s="1"/>
      <c r="W63" s="1"/>
      <c r="X63" s="1"/>
      <c r="Y63" s="1"/>
      <c r="Z63" s="77" t="s">
        <v>52</v>
      </c>
      <c r="AA63" s="78"/>
      <c r="AB63" s="78"/>
      <c r="AC63" s="78"/>
      <c r="AD63" s="78"/>
      <c r="AE63" s="78"/>
      <c r="AF63" s="78"/>
      <c r="AG63" s="78"/>
      <c r="AH63" s="78"/>
      <c r="AI63" s="78"/>
      <c r="AJ63" s="78"/>
      <c r="AK63" s="79"/>
      <c r="AL63" s="1"/>
      <c r="AM63" s="123" t="s">
        <v>53</v>
      </c>
      <c r="AN63" s="124"/>
      <c r="AO63" s="124"/>
      <c r="AP63" s="124"/>
      <c r="AQ63" s="125"/>
      <c r="AR63" s="126">
        <f>AO29/AW5</f>
        <v>11.545454545454545</v>
      </c>
      <c r="AS63" s="126">
        <f>AO49/AW5</f>
        <v>13.272727272727273</v>
      </c>
      <c r="AT63" s="128">
        <f>AO50/AW5</f>
        <v>24.818181818181817</v>
      </c>
      <c r="AU63" s="129"/>
    </row>
    <row r="64" spans="1:51" ht="4.9000000000000004" customHeight="1">
      <c r="A64" s="132" t="s">
        <v>54</v>
      </c>
      <c r="B64" s="72"/>
      <c r="C64" s="72"/>
      <c r="D64" s="72"/>
      <c r="E64" s="72"/>
      <c r="F64" s="72"/>
      <c r="G64" s="72"/>
      <c r="H64" s="72"/>
      <c r="I64" s="72"/>
      <c r="J64" s="72"/>
      <c r="K64" s="72"/>
      <c r="L64" s="72"/>
      <c r="M64" s="72"/>
      <c r="N64" s="72"/>
      <c r="O64" s="72"/>
      <c r="P64" s="72"/>
      <c r="Q64" s="72"/>
      <c r="R64" s="72"/>
      <c r="S64" s="72"/>
      <c r="T64" s="72"/>
      <c r="U64" s="72"/>
      <c r="V64" s="72"/>
      <c r="W64" s="72"/>
      <c r="X64" s="72"/>
      <c r="Y64" s="1"/>
      <c r="Z64" s="77"/>
      <c r="AA64" s="72"/>
      <c r="AB64" s="72"/>
      <c r="AC64" s="72"/>
      <c r="AD64" s="72"/>
      <c r="AE64" s="72"/>
      <c r="AF64" s="72"/>
      <c r="AG64" s="72"/>
      <c r="AH64" s="72"/>
      <c r="AI64" s="72"/>
      <c r="AJ64" s="72"/>
      <c r="AK64" s="79"/>
      <c r="AL64" s="1"/>
      <c r="AM64" s="105"/>
      <c r="AN64" s="106"/>
      <c r="AO64" s="106"/>
      <c r="AP64" s="106"/>
      <c r="AQ64" s="107"/>
      <c r="AR64" s="127"/>
      <c r="AS64" s="127"/>
      <c r="AT64" s="130"/>
      <c r="AU64" s="131"/>
    </row>
    <row r="65" spans="1:47" ht="15" customHeight="1">
      <c r="A65" s="72"/>
      <c r="B65" s="72"/>
      <c r="C65" s="72"/>
      <c r="D65" s="72"/>
      <c r="E65" s="72"/>
      <c r="F65" s="72"/>
      <c r="G65" s="72"/>
      <c r="H65" s="72"/>
      <c r="I65" s="72"/>
      <c r="J65" s="72"/>
      <c r="K65" s="72"/>
      <c r="L65" s="72"/>
      <c r="M65" s="72"/>
      <c r="N65" s="72"/>
      <c r="O65" s="72"/>
      <c r="P65" s="72"/>
      <c r="Q65" s="72"/>
      <c r="R65" s="72"/>
      <c r="S65" s="72"/>
      <c r="T65" s="72"/>
      <c r="U65" s="72"/>
      <c r="V65" s="72"/>
      <c r="W65" s="72"/>
      <c r="X65" s="72"/>
      <c r="Y65" s="1"/>
      <c r="Z65" s="77"/>
      <c r="AA65" s="72"/>
      <c r="AB65" s="72"/>
      <c r="AC65" s="72"/>
      <c r="AD65" s="72"/>
      <c r="AE65" s="72"/>
      <c r="AF65" s="72"/>
      <c r="AG65" s="72"/>
      <c r="AH65" s="72"/>
      <c r="AI65" s="72"/>
      <c r="AJ65" s="72"/>
      <c r="AK65" s="79"/>
      <c r="AL65" s="1"/>
      <c r="AM65" s="105" t="s">
        <v>55</v>
      </c>
      <c r="AN65" s="106"/>
      <c r="AO65" s="106"/>
      <c r="AP65" s="106"/>
      <c r="AQ65" s="107"/>
      <c r="AR65" s="38">
        <f>AR63/AR59*100</f>
        <v>96.212121212121204</v>
      </c>
      <c r="AS65" s="38">
        <f>AS63/AS59*100</f>
        <v>94.805194805194816</v>
      </c>
      <c r="AT65" s="108">
        <f>AT63/AT59*100</f>
        <v>95.454545454545453</v>
      </c>
      <c r="AU65" s="109"/>
    </row>
    <row r="66" spans="1:47" ht="21" customHeight="1">
      <c r="A66" s="72"/>
      <c r="B66" s="72"/>
      <c r="C66" s="72"/>
      <c r="D66" s="72"/>
      <c r="E66" s="72"/>
      <c r="F66" s="72"/>
      <c r="G66" s="72"/>
      <c r="H66" s="72"/>
      <c r="I66" s="72"/>
      <c r="J66" s="72"/>
      <c r="K66" s="72"/>
      <c r="L66" s="72"/>
      <c r="M66" s="72"/>
      <c r="N66" s="72"/>
      <c r="O66" s="72"/>
      <c r="P66" s="72"/>
      <c r="Q66" s="72"/>
      <c r="R66" s="72"/>
      <c r="S66" s="72"/>
      <c r="T66" s="72"/>
      <c r="U66" s="72"/>
      <c r="V66" s="72"/>
      <c r="W66" s="72"/>
      <c r="X66" s="72"/>
      <c r="Y66" s="1"/>
      <c r="Z66" s="77"/>
      <c r="AA66" s="72"/>
      <c r="AB66" s="72"/>
      <c r="AC66" s="72"/>
      <c r="AD66" s="72"/>
      <c r="AE66" s="72"/>
      <c r="AF66" s="72"/>
      <c r="AG66" s="72"/>
      <c r="AH66" s="72"/>
      <c r="AI66" s="72"/>
      <c r="AJ66" s="72"/>
      <c r="AK66" s="79"/>
      <c r="AL66" s="1"/>
      <c r="AM66" s="105" t="s">
        <v>56</v>
      </c>
      <c r="AN66" s="106"/>
      <c r="AO66" s="106"/>
      <c r="AP66" s="106"/>
      <c r="AQ66" s="107"/>
      <c r="AR66" s="2">
        <v>0</v>
      </c>
      <c r="AS66" s="2">
        <v>0</v>
      </c>
      <c r="AT66" s="110">
        <v>0</v>
      </c>
      <c r="AU66" s="111"/>
    </row>
    <row r="67" spans="1:47" ht="9" customHeight="1">
      <c r="A67" s="72"/>
      <c r="B67" s="72"/>
      <c r="C67" s="72"/>
      <c r="D67" s="72"/>
      <c r="E67" s="72"/>
      <c r="F67" s="72"/>
      <c r="G67" s="72"/>
      <c r="H67" s="72"/>
      <c r="I67" s="72"/>
      <c r="J67" s="72"/>
      <c r="K67" s="72"/>
      <c r="L67" s="72"/>
      <c r="M67" s="72"/>
      <c r="N67" s="72"/>
      <c r="O67" s="72"/>
      <c r="P67" s="72"/>
      <c r="Q67" s="72"/>
      <c r="R67" s="72"/>
      <c r="S67" s="72"/>
      <c r="T67" s="72"/>
      <c r="U67" s="72"/>
      <c r="V67" s="72"/>
      <c r="W67" s="72"/>
      <c r="X67" s="72"/>
      <c r="Y67" s="1"/>
      <c r="Z67" s="77"/>
      <c r="AA67" s="78"/>
      <c r="AB67" s="78"/>
      <c r="AC67" s="78"/>
      <c r="AD67" s="78"/>
      <c r="AE67" s="78"/>
      <c r="AF67" s="78"/>
      <c r="AG67" s="78"/>
      <c r="AH67" s="78"/>
      <c r="AI67" s="78"/>
      <c r="AJ67" s="78"/>
      <c r="AK67" s="79"/>
      <c r="AL67" s="1"/>
      <c r="AM67" s="112" t="s">
        <v>57</v>
      </c>
      <c r="AN67" s="113"/>
      <c r="AO67" s="113"/>
      <c r="AP67" s="113"/>
      <c r="AQ67" s="114"/>
      <c r="AR67" s="66">
        <v>0</v>
      </c>
      <c r="AS67" s="66">
        <v>0</v>
      </c>
      <c r="AT67" s="60">
        <v>0</v>
      </c>
      <c r="AU67" s="61"/>
    </row>
    <row r="68" spans="1:47" ht="4.1500000000000004" customHeight="1">
      <c r="A68" s="1"/>
      <c r="B68" s="68" t="s">
        <v>58</v>
      </c>
      <c r="C68" s="69"/>
      <c r="D68" s="69"/>
      <c r="E68" s="69"/>
      <c r="F68" s="69"/>
      <c r="G68" s="69"/>
      <c r="H68" s="69"/>
      <c r="I68" s="69"/>
      <c r="J68" s="69"/>
      <c r="K68" s="69"/>
      <c r="L68" s="69"/>
      <c r="M68" s="69"/>
      <c r="N68" s="69"/>
      <c r="O68" s="69"/>
      <c r="P68" s="69"/>
      <c r="Q68" s="69"/>
      <c r="R68" s="69"/>
      <c r="S68" s="69"/>
      <c r="T68" s="69"/>
      <c r="U68" s="69"/>
      <c r="V68" s="69"/>
      <c r="W68" s="69"/>
      <c r="X68" s="70"/>
      <c r="Y68" s="1"/>
      <c r="Z68" s="82" t="s">
        <v>59</v>
      </c>
      <c r="AA68" s="83"/>
      <c r="AB68" s="83"/>
      <c r="AC68" s="83"/>
      <c r="AD68" s="83"/>
      <c r="AE68" s="83"/>
      <c r="AF68" s="83"/>
      <c r="AG68" s="83"/>
      <c r="AH68" s="83"/>
      <c r="AI68" s="83"/>
      <c r="AJ68" s="83"/>
      <c r="AK68" s="84"/>
      <c r="AL68" s="1"/>
      <c r="AM68" s="99"/>
      <c r="AN68" s="100"/>
      <c r="AO68" s="100"/>
      <c r="AP68" s="100"/>
      <c r="AQ68" s="101"/>
      <c r="AR68" s="102"/>
      <c r="AS68" s="102"/>
      <c r="AT68" s="103"/>
      <c r="AU68" s="104"/>
    </row>
    <row r="69" spans="1:47" ht="6" customHeight="1">
      <c r="A69" s="1"/>
      <c r="B69" s="71"/>
      <c r="C69" s="72"/>
      <c r="D69" s="72"/>
      <c r="E69" s="72"/>
      <c r="F69" s="72"/>
      <c r="G69" s="72"/>
      <c r="H69" s="72"/>
      <c r="I69" s="72"/>
      <c r="J69" s="72"/>
      <c r="K69" s="72"/>
      <c r="L69" s="72"/>
      <c r="M69" s="72"/>
      <c r="N69" s="72"/>
      <c r="O69" s="72"/>
      <c r="P69" s="72"/>
      <c r="Q69" s="72"/>
      <c r="R69" s="72"/>
      <c r="S69" s="72"/>
      <c r="T69" s="72"/>
      <c r="U69" s="72"/>
      <c r="V69" s="72"/>
      <c r="W69" s="72"/>
      <c r="X69" s="73"/>
      <c r="Y69" s="1"/>
      <c r="Z69" s="82"/>
      <c r="AA69" s="83"/>
      <c r="AB69" s="83"/>
      <c r="AC69" s="83"/>
      <c r="AD69" s="83"/>
      <c r="AE69" s="83"/>
      <c r="AF69" s="83"/>
      <c r="AG69" s="83"/>
      <c r="AH69" s="83"/>
      <c r="AI69" s="83"/>
      <c r="AJ69" s="83"/>
      <c r="AK69" s="84"/>
      <c r="AL69" s="1"/>
      <c r="AM69" s="87" t="s">
        <v>60</v>
      </c>
      <c r="AN69" s="88"/>
      <c r="AO69" s="88"/>
      <c r="AP69" s="88"/>
      <c r="AQ69" s="89"/>
      <c r="AR69" s="66">
        <v>0</v>
      </c>
      <c r="AS69" s="66">
        <v>0</v>
      </c>
      <c r="AT69" s="60">
        <v>0</v>
      </c>
      <c r="AU69" s="61"/>
    </row>
    <row r="70" spans="1:47" ht="7.15" customHeight="1">
      <c r="A70" s="1"/>
      <c r="B70" s="71"/>
      <c r="C70" s="72"/>
      <c r="D70" s="72"/>
      <c r="E70" s="72"/>
      <c r="F70" s="72"/>
      <c r="G70" s="72"/>
      <c r="H70" s="72"/>
      <c r="I70" s="72"/>
      <c r="J70" s="72"/>
      <c r="K70" s="72"/>
      <c r="L70" s="72"/>
      <c r="M70" s="72"/>
      <c r="N70" s="72"/>
      <c r="O70" s="72"/>
      <c r="P70" s="72"/>
      <c r="Q70" s="72"/>
      <c r="R70" s="72"/>
      <c r="S70" s="72"/>
      <c r="T70" s="72"/>
      <c r="U70" s="72"/>
      <c r="V70" s="72"/>
      <c r="W70" s="72"/>
      <c r="X70" s="73"/>
      <c r="Y70" s="1"/>
      <c r="Z70" s="77" t="s">
        <v>61</v>
      </c>
      <c r="AA70" s="78"/>
      <c r="AB70" s="78"/>
      <c r="AC70" s="78"/>
      <c r="AD70" s="78"/>
      <c r="AE70" s="78"/>
      <c r="AF70" s="78"/>
      <c r="AG70" s="78"/>
      <c r="AH70" s="78"/>
      <c r="AI70" s="78"/>
      <c r="AJ70" s="78"/>
      <c r="AK70" s="79"/>
      <c r="AL70" s="1"/>
      <c r="AM70" s="99"/>
      <c r="AN70" s="100"/>
      <c r="AO70" s="100"/>
      <c r="AP70" s="100"/>
      <c r="AQ70" s="101"/>
      <c r="AR70" s="102"/>
      <c r="AS70" s="102"/>
      <c r="AT70" s="103"/>
      <c r="AU70" s="104"/>
    </row>
    <row r="71" spans="1:47" ht="3" customHeight="1">
      <c r="A71" s="1"/>
      <c r="B71" s="74"/>
      <c r="C71" s="75"/>
      <c r="D71" s="75"/>
      <c r="E71" s="75"/>
      <c r="F71" s="75"/>
      <c r="G71" s="75"/>
      <c r="H71" s="75"/>
      <c r="I71" s="75"/>
      <c r="J71" s="75"/>
      <c r="K71" s="75"/>
      <c r="L71" s="75"/>
      <c r="M71" s="75"/>
      <c r="N71" s="75"/>
      <c r="O71" s="75"/>
      <c r="P71" s="75"/>
      <c r="Q71" s="75"/>
      <c r="R71" s="75"/>
      <c r="S71" s="75"/>
      <c r="T71" s="75"/>
      <c r="U71" s="75"/>
      <c r="V71" s="75"/>
      <c r="W71" s="75"/>
      <c r="X71" s="76"/>
      <c r="Y71" s="1"/>
      <c r="Z71" s="77"/>
      <c r="AA71" s="72"/>
      <c r="AB71" s="72"/>
      <c r="AC71" s="72"/>
      <c r="AD71" s="72"/>
      <c r="AE71" s="72"/>
      <c r="AF71" s="72"/>
      <c r="AG71" s="72"/>
      <c r="AH71" s="72"/>
      <c r="AI71" s="72"/>
      <c r="AJ71" s="72"/>
      <c r="AK71" s="79"/>
      <c r="AL71" s="1"/>
      <c r="AM71" s="87" t="s">
        <v>62</v>
      </c>
      <c r="AN71" s="88"/>
      <c r="AO71" s="88"/>
      <c r="AP71" s="88"/>
      <c r="AQ71" s="89"/>
      <c r="AR71" s="66">
        <v>0</v>
      </c>
      <c r="AS71" s="66">
        <v>0</v>
      </c>
      <c r="AT71" s="60">
        <v>0</v>
      </c>
      <c r="AU71" s="61"/>
    </row>
    <row r="72" spans="1:47" ht="10.15" customHeight="1" thickBot="1">
      <c r="A72" s="1"/>
      <c r="B72" s="1"/>
      <c r="C72" s="1"/>
      <c r="D72" s="1"/>
      <c r="E72" s="1"/>
      <c r="F72" s="1"/>
      <c r="G72" s="1"/>
      <c r="H72" s="1"/>
      <c r="I72" s="1"/>
      <c r="J72" s="1"/>
      <c r="K72" s="1"/>
      <c r="L72" s="1"/>
      <c r="M72" s="1"/>
      <c r="N72" s="1"/>
      <c r="O72" s="1"/>
      <c r="P72" s="1"/>
      <c r="Q72" s="1"/>
      <c r="R72" s="1"/>
      <c r="S72" s="1"/>
      <c r="T72" s="1"/>
      <c r="U72" s="1"/>
      <c r="V72" s="1"/>
      <c r="W72" s="1"/>
      <c r="X72" s="1"/>
      <c r="Y72" s="1"/>
      <c r="Z72" s="77"/>
      <c r="AA72" s="72"/>
      <c r="AB72" s="72"/>
      <c r="AC72" s="72"/>
      <c r="AD72" s="72"/>
      <c r="AE72" s="72"/>
      <c r="AF72" s="72"/>
      <c r="AG72" s="72"/>
      <c r="AH72" s="72"/>
      <c r="AI72" s="72"/>
      <c r="AJ72" s="72"/>
      <c r="AK72" s="79"/>
      <c r="AL72" s="1"/>
      <c r="AM72" s="90"/>
      <c r="AN72" s="91"/>
      <c r="AO72" s="91"/>
      <c r="AP72" s="91"/>
      <c r="AQ72" s="92"/>
      <c r="AR72" s="67"/>
      <c r="AS72" s="67"/>
      <c r="AT72" s="62"/>
      <c r="AU72" s="63"/>
    </row>
    <row r="73" spans="1:47" ht="10.15" customHeight="1">
      <c r="A73" s="1"/>
      <c r="B73" s="1"/>
      <c r="C73" s="1"/>
      <c r="D73" s="1"/>
      <c r="E73" s="1"/>
      <c r="F73" s="1"/>
      <c r="G73" s="1"/>
      <c r="H73" s="1"/>
      <c r="I73" s="1"/>
      <c r="J73" s="1"/>
      <c r="K73" s="1"/>
      <c r="L73" s="1"/>
      <c r="M73" s="1"/>
      <c r="N73" s="1"/>
      <c r="O73" s="1"/>
      <c r="P73" s="1"/>
      <c r="Q73" s="1"/>
      <c r="R73" s="1"/>
      <c r="S73" s="1"/>
      <c r="T73" s="1"/>
      <c r="U73" s="1"/>
      <c r="V73" s="1"/>
      <c r="W73" s="1"/>
      <c r="X73" s="1"/>
      <c r="Y73" s="1"/>
      <c r="Z73" s="77"/>
      <c r="AA73" s="78"/>
      <c r="AB73" s="78"/>
      <c r="AC73" s="78"/>
      <c r="AD73" s="78"/>
      <c r="AE73" s="78"/>
      <c r="AF73" s="78"/>
      <c r="AG73" s="78"/>
      <c r="AH73" s="78"/>
      <c r="AI73" s="78"/>
      <c r="AJ73" s="78"/>
      <c r="AK73" s="79"/>
      <c r="AL73" s="1"/>
      <c r="AM73" s="1"/>
      <c r="AN73" s="1"/>
      <c r="AO73" s="1"/>
      <c r="AP73" s="1"/>
      <c r="AQ73" s="1"/>
      <c r="AR73" s="1"/>
      <c r="AS73" s="1"/>
      <c r="AT73" s="1"/>
      <c r="AU73" s="1"/>
    </row>
    <row r="74" spans="1:47" ht="10.15" customHeight="1">
      <c r="A74" s="1"/>
      <c r="B74" s="1"/>
      <c r="C74" s="1"/>
      <c r="D74" s="1"/>
      <c r="E74" s="1"/>
      <c r="F74" s="1"/>
      <c r="G74" s="1"/>
      <c r="H74" s="1"/>
      <c r="I74" s="1"/>
      <c r="J74" s="1"/>
      <c r="K74" s="1"/>
      <c r="L74" s="1"/>
      <c r="M74" s="1"/>
      <c r="N74" s="1"/>
      <c r="O74" s="1"/>
      <c r="P74" s="1"/>
      <c r="Q74" s="1"/>
      <c r="R74" s="1"/>
      <c r="S74" s="1"/>
      <c r="T74" s="1"/>
      <c r="U74" s="1"/>
      <c r="V74" s="1"/>
      <c r="W74" s="1"/>
      <c r="X74" s="1"/>
      <c r="Y74" s="1"/>
      <c r="Z74" s="82" t="s">
        <v>63</v>
      </c>
      <c r="AA74" s="83"/>
      <c r="AB74" s="83"/>
      <c r="AC74" s="83"/>
      <c r="AD74" s="83"/>
      <c r="AE74" s="83"/>
      <c r="AF74" s="83"/>
      <c r="AG74" s="83"/>
      <c r="AH74" s="83"/>
      <c r="AI74" s="83"/>
      <c r="AJ74" s="83"/>
      <c r="AK74" s="84"/>
      <c r="AL74" s="1"/>
      <c r="AM74" s="85" t="s">
        <v>64</v>
      </c>
      <c r="AN74" s="72"/>
      <c r="AO74" s="72"/>
      <c r="AP74" s="72"/>
      <c r="AQ74" s="72"/>
      <c r="AR74" s="72"/>
      <c r="AS74" s="72"/>
      <c r="AT74" s="72"/>
      <c r="AU74" s="72"/>
    </row>
    <row r="75" spans="1:47" ht="10.15" customHeight="1">
      <c r="A75" s="1"/>
      <c r="B75" s="1"/>
      <c r="C75" s="1"/>
      <c r="D75" s="1"/>
      <c r="E75" s="1"/>
      <c r="F75" s="1"/>
      <c r="G75" s="1"/>
      <c r="H75" s="1"/>
      <c r="I75" s="1"/>
      <c r="J75" s="1"/>
      <c r="K75" s="1"/>
      <c r="L75" s="1"/>
      <c r="M75" s="1"/>
      <c r="N75" s="1"/>
      <c r="O75" s="1"/>
      <c r="P75" s="1"/>
      <c r="Q75" s="1"/>
      <c r="R75" s="1"/>
      <c r="S75" s="1"/>
      <c r="T75" s="1"/>
      <c r="U75" s="1"/>
      <c r="V75" s="1"/>
      <c r="W75" s="1"/>
      <c r="X75" s="1"/>
      <c r="Y75" s="1"/>
      <c r="Z75" s="77" t="s">
        <v>65</v>
      </c>
      <c r="AA75" s="78"/>
      <c r="AB75" s="78"/>
      <c r="AC75" s="78"/>
      <c r="AD75" s="78"/>
      <c r="AE75" s="78"/>
      <c r="AF75" s="78"/>
      <c r="AG75" s="78"/>
      <c r="AH75" s="78"/>
      <c r="AI75" s="78"/>
      <c r="AJ75" s="78"/>
      <c r="AK75" s="79"/>
      <c r="AL75" s="1"/>
      <c r="AM75" s="72"/>
      <c r="AN75" s="72"/>
      <c r="AO75" s="72"/>
      <c r="AP75" s="72"/>
      <c r="AQ75" s="72"/>
      <c r="AR75" s="72"/>
      <c r="AS75" s="72"/>
      <c r="AT75" s="72"/>
      <c r="AU75" s="72"/>
    </row>
    <row r="76" spans="1:47" ht="19.899999999999999" customHeight="1">
      <c r="A76" s="1"/>
      <c r="B76" s="1"/>
      <c r="C76" s="1"/>
      <c r="D76" s="1"/>
      <c r="E76" s="1"/>
      <c r="F76" s="1"/>
      <c r="G76" s="1"/>
      <c r="H76" s="1"/>
      <c r="I76" s="1"/>
      <c r="J76" s="1"/>
      <c r="K76" s="1"/>
      <c r="L76" s="1"/>
      <c r="M76" s="1"/>
      <c r="N76" s="1"/>
      <c r="O76" s="1"/>
      <c r="P76" s="1"/>
      <c r="Q76" s="1"/>
      <c r="R76" s="1"/>
      <c r="S76" s="1"/>
      <c r="T76" s="1"/>
      <c r="U76" s="1"/>
      <c r="V76" s="1"/>
      <c r="W76" s="1"/>
      <c r="X76" s="1"/>
      <c r="Y76" s="1"/>
      <c r="Z76" s="77"/>
      <c r="AA76" s="78"/>
      <c r="AB76" s="78"/>
      <c r="AC76" s="78"/>
      <c r="AD76" s="78"/>
      <c r="AE76" s="78"/>
      <c r="AF76" s="78"/>
      <c r="AG76" s="78"/>
      <c r="AH76" s="78"/>
      <c r="AI76" s="78"/>
      <c r="AJ76" s="78"/>
      <c r="AK76" s="79"/>
      <c r="AL76" s="1"/>
      <c r="AM76" s="1"/>
      <c r="AN76" s="86" t="s">
        <v>134</v>
      </c>
      <c r="AO76" s="86"/>
      <c r="AP76" s="86"/>
      <c r="AQ76" s="86"/>
      <c r="AR76" s="86"/>
      <c r="AS76" s="86"/>
      <c r="AT76" s="86"/>
      <c r="AU76" s="86"/>
    </row>
    <row r="77" spans="1:47" ht="10.15" customHeight="1" thickBot="1">
      <c r="A77" s="1"/>
      <c r="B77" s="1"/>
      <c r="C77" s="1"/>
      <c r="D77" s="1"/>
      <c r="E77" s="1"/>
      <c r="F77" s="1"/>
      <c r="G77" s="1"/>
      <c r="H77" s="1"/>
      <c r="I77" s="1"/>
      <c r="J77" s="1"/>
      <c r="K77" s="1"/>
      <c r="L77" s="1"/>
      <c r="M77" s="1"/>
      <c r="N77" s="1"/>
      <c r="O77" s="1"/>
      <c r="P77" s="1"/>
      <c r="Q77" s="1"/>
      <c r="R77" s="1"/>
      <c r="S77" s="1"/>
      <c r="T77" s="1"/>
      <c r="U77" s="1"/>
      <c r="V77" s="1"/>
      <c r="W77" s="1"/>
      <c r="X77" s="1"/>
      <c r="Y77" s="1"/>
      <c r="Z77" s="82" t="s">
        <v>66</v>
      </c>
      <c r="AA77" s="83"/>
      <c r="AB77" s="83"/>
      <c r="AC77" s="83"/>
      <c r="AD77" s="83"/>
      <c r="AE77" s="83"/>
      <c r="AF77" s="83"/>
      <c r="AG77" s="83"/>
      <c r="AH77" s="83"/>
      <c r="AI77" s="83"/>
      <c r="AJ77" s="83"/>
      <c r="AK77" s="84"/>
      <c r="AL77" s="1"/>
      <c r="AM77" s="1"/>
      <c r="AN77" s="65"/>
      <c r="AO77" s="65"/>
      <c r="AP77" s="65"/>
      <c r="AQ77" s="65"/>
      <c r="AR77" s="65"/>
      <c r="AS77" s="65"/>
      <c r="AT77" s="65"/>
      <c r="AU77" s="65"/>
    </row>
    <row r="78" spans="1:47" ht="10.15" customHeight="1">
      <c r="A78" s="1"/>
      <c r="B78" s="1"/>
      <c r="C78" s="1"/>
      <c r="D78" s="1"/>
      <c r="E78" s="1"/>
      <c r="F78" s="1"/>
      <c r="G78" s="1"/>
      <c r="H78" s="1"/>
      <c r="I78" s="1"/>
      <c r="J78" s="1"/>
      <c r="K78" s="1"/>
      <c r="L78" s="1"/>
      <c r="M78" s="1"/>
      <c r="N78" s="1"/>
      <c r="O78" s="1"/>
      <c r="P78" s="1"/>
      <c r="Q78" s="1"/>
      <c r="R78" s="1"/>
      <c r="S78" s="1"/>
      <c r="T78" s="1"/>
      <c r="U78" s="1"/>
      <c r="V78" s="1"/>
      <c r="W78" s="1"/>
      <c r="X78" s="1"/>
      <c r="Y78" s="1"/>
      <c r="Z78" s="77" t="s">
        <v>67</v>
      </c>
      <c r="AA78" s="78"/>
      <c r="AB78" s="78"/>
      <c r="AC78" s="78"/>
      <c r="AD78" s="78"/>
      <c r="AE78" s="78"/>
      <c r="AF78" s="78"/>
      <c r="AG78" s="78"/>
      <c r="AH78" s="78"/>
      <c r="AI78" s="78"/>
      <c r="AJ78" s="78"/>
      <c r="AK78" s="79"/>
      <c r="AL78" s="1"/>
      <c r="AM78" s="1"/>
      <c r="AN78" s="81" t="s">
        <v>68</v>
      </c>
      <c r="AO78" s="72"/>
      <c r="AP78" s="72"/>
      <c r="AQ78" s="72"/>
      <c r="AR78" s="72"/>
      <c r="AS78" s="72"/>
      <c r="AT78" s="72"/>
      <c r="AU78" s="72"/>
    </row>
    <row r="79" spans="1:47" ht="10.15" customHeight="1">
      <c r="A79" s="1"/>
      <c r="B79" s="1"/>
      <c r="C79" s="1"/>
      <c r="D79" s="1"/>
      <c r="E79" s="1"/>
      <c r="F79" s="1"/>
      <c r="G79" s="1"/>
      <c r="H79" s="1"/>
      <c r="I79" s="1"/>
      <c r="J79" s="1"/>
      <c r="K79" s="1"/>
      <c r="L79" s="1"/>
      <c r="M79" s="1"/>
      <c r="N79" s="1"/>
      <c r="O79" s="1"/>
      <c r="P79" s="1"/>
      <c r="Q79" s="1"/>
      <c r="R79" s="1"/>
      <c r="S79" s="1"/>
      <c r="T79" s="1"/>
      <c r="U79" s="1"/>
      <c r="V79" s="1"/>
      <c r="W79" s="1"/>
      <c r="X79" s="1"/>
      <c r="Y79" s="1"/>
      <c r="Z79" s="93" t="s">
        <v>69</v>
      </c>
      <c r="AA79" s="94"/>
      <c r="AB79" s="94"/>
      <c r="AC79" s="94"/>
      <c r="AD79" s="94"/>
      <c r="AE79" s="94"/>
      <c r="AF79" s="94"/>
      <c r="AG79" s="94"/>
      <c r="AH79" s="94"/>
      <c r="AI79" s="94"/>
      <c r="AJ79" s="94"/>
      <c r="AK79" s="95"/>
      <c r="AL79" s="1"/>
      <c r="AM79" s="1"/>
      <c r="AN79" s="72"/>
      <c r="AO79" s="72"/>
      <c r="AP79" s="72"/>
      <c r="AQ79" s="72"/>
      <c r="AR79" s="72"/>
      <c r="AS79" s="72"/>
      <c r="AT79" s="72"/>
      <c r="AU79" s="72"/>
    </row>
    <row r="80" spans="1:47" ht="10.9" customHeight="1">
      <c r="A80" s="1"/>
      <c r="B80" s="1"/>
      <c r="C80" s="1"/>
      <c r="D80" s="1"/>
      <c r="E80" s="1"/>
      <c r="F80" s="1"/>
      <c r="G80" s="1"/>
      <c r="H80" s="1"/>
      <c r="I80" s="1"/>
      <c r="J80" s="1"/>
      <c r="K80" s="1"/>
      <c r="L80" s="1"/>
      <c r="M80" s="1"/>
      <c r="N80" s="1"/>
      <c r="O80" s="1"/>
      <c r="P80" s="1"/>
      <c r="Q80" s="1"/>
      <c r="R80" s="1"/>
      <c r="S80" s="1"/>
      <c r="T80" s="1"/>
      <c r="U80" s="1"/>
      <c r="V80" s="1"/>
      <c r="W80" s="1"/>
      <c r="X80" s="1"/>
      <c r="Y80" s="1"/>
      <c r="Z80" s="96"/>
      <c r="AA80" s="97"/>
      <c r="AB80" s="97"/>
      <c r="AC80" s="97"/>
      <c r="AD80" s="97"/>
      <c r="AE80" s="97"/>
      <c r="AF80" s="97"/>
      <c r="AG80" s="97"/>
      <c r="AH80" s="97"/>
      <c r="AI80" s="97"/>
      <c r="AJ80" s="97"/>
      <c r="AK80" s="98"/>
      <c r="AL80" s="1"/>
      <c r="AM80" s="85" t="s">
        <v>70</v>
      </c>
      <c r="AN80" s="72"/>
      <c r="AO80" s="72"/>
      <c r="AP80" s="72"/>
      <c r="AQ80" s="72"/>
      <c r="AR80" s="72"/>
      <c r="AS80" s="72"/>
      <c r="AT80" s="72"/>
      <c r="AU80" s="72"/>
    </row>
    <row r="81" spans="1:47" ht="9"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72"/>
      <c r="AN81" s="72"/>
      <c r="AO81" s="72"/>
      <c r="AP81" s="72"/>
      <c r="AQ81" s="72"/>
      <c r="AR81" s="72"/>
      <c r="AS81" s="72"/>
      <c r="AT81" s="72"/>
      <c r="AU81" s="72"/>
    </row>
    <row r="82" spans="1:47" ht="22.9" customHeight="1" thickBot="1">
      <c r="A82" s="1"/>
      <c r="B82" s="1"/>
      <c r="C82" s="1"/>
      <c r="D82" s="1"/>
      <c r="E82" s="1"/>
      <c r="F82" s="1"/>
      <c r="G82" s="1"/>
      <c r="H82" s="1"/>
      <c r="I82" s="1"/>
      <c r="J82" s="1"/>
      <c r="K82" s="1"/>
      <c r="L82" s="1"/>
      <c r="M82" s="1"/>
      <c r="N82" s="1"/>
      <c r="O82" s="1"/>
      <c r="P82" s="1"/>
      <c r="Q82" s="1"/>
      <c r="R82" s="1"/>
      <c r="S82" s="1"/>
      <c r="T82" s="1"/>
      <c r="U82" s="1"/>
      <c r="V82" s="1"/>
      <c r="W82" s="1"/>
      <c r="X82" s="1"/>
      <c r="Y82" s="1"/>
      <c r="Z82" s="64" t="s">
        <v>134</v>
      </c>
      <c r="AA82" s="64"/>
      <c r="AB82" s="64"/>
      <c r="AC82" s="64"/>
      <c r="AD82" s="64"/>
      <c r="AE82" s="64"/>
      <c r="AF82" s="64"/>
      <c r="AG82" s="64"/>
      <c r="AH82" s="64"/>
      <c r="AI82" s="64"/>
      <c r="AJ82" s="64"/>
      <c r="AK82" s="64"/>
      <c r="AL82" s="1"/>
      <c r="AM82" s="1"/>
      <c r="AN82" s="65" t="s">
        <v>128</v>
      </c>
      <c r="AO82" s="65"/>
      <c r="AP82" s="65"/>
      <c r="AQ82" s="65"/>
      <c r="AR82" s="65"/>
      <c r="AS82" s="65"/>
      <c r="AT82" s="65"/>
      <c r="AU82" s="1"/>
    </row>
    <row r="83" spans="1:47" ht="10.15" customHeight="1">
      <c r="A83" s="1"/>
      <c r="B83" s="1"/>
      <c r="C83" s="1"/>
      <c r="D83" s="1"/>
      <c r="E83" s="1"/>
      <c r="F83" s="1"/>
      <c r="G83" s="1"/>
      <c r="H83" s="1"/>
      <c r="I83" s="1"/>
      <c r="J83" s="1"/>
      <c r="K83" s="1"/>
      <c r="L83" s="1"/>
      <c r="M83" s="1"/>
      <c r="N83" s="1"/>
      <c r="O83" s="1"/>
      <c r="P83" s="1"/>
      <c r="Q83" s="1"/>
      <c r="R83" s="1"/>
      <c r="S83" s="1"/>
      <c r="T83" s="1"/>
      <c r="U83" s="1"/>
      <c r="V83" s="1"/>
      <c r="W83" s="1"/>
      <c r="X83" s="1"/>
      <c r="Y83" s="1"/>
      <c r="Z83" s="80" t="s">
        <v>71</v>
      </c>
      <c r="AA83" s="80"/>
      <c r="AB83" s="80"/>
      <c r="AC83" s="80"/>
      <c r="AD83" s="80"/>
      <c r="AE83" s="80"/>
      <c r="AF83" s="80"/>
      <c r="AG83" s="80"/>
      <c r="AH83" s="80"/>
      <c r="AI83" s="80"/>
      <c r="AJ83" s="80"/>
      <c r="AK83" s="80"/>
      <c r="AL83" s="1"/>
      <c r="AM83" s="1"/>
      <c r="AN83" s="81" t="s">
        <v>72</v>
      </c>
      <c r="AO83" s="72"/>
      <c r="AP83" s="72"/>
      <c r="AQ83" s="72"/>
      <c r="AR83" s="72"/>
      <c r="AS83" s="72"/>
      <c r="AT83" s="72"/>
      <c r="AU83" s="72"/>
    </row>
  </sheetData>
  <mergeCells count="681">
    <mergeCell ref="C14:D14"/>
    <mergeCell ref="A1:AU1"/>
    <mergeCell ref="A2:AU2"/>
    <mergeCell ref="A3:D3"/>
    <mergeCell ref="F3:I3"/>
    <mergeCell ref="J3:L3"/>
    <mergeCell ref="M3:R3"/>
    <mergeCell ref="S3:Z3"/>
    <mergeCell ref="AA3:AG3"/>
    <mergeCell ref="A4:D4"/>
    <mergeCell ref="F4:R4"/>
    <mergeCell ref="S4:Z4"/>
    <mergeCell ref="AA4:AG4"/>
    <mergeCell ref="AI4:AL4"/>
    <mergeCell ref="AM4:AU4"/>
    <mergeCell ref="AW4:AY4"/>
    <mergeCell ref="A5:B7"/>
    <mergeCell ref="C5:E7"/>
    <mergeCell ref="F5:AL5"/>
    <mergeCell ref="AM5:AP6"/>
    <mergeCell ref="AQ5:AU7"/>
    <mergeCell ref="AW5:AY6"/>
    <mergeCell ref="F6:G6"/>
    <mergeCell ref="L6:M6"/>
    <mergeCell ref="R6:S6"/>
    <mergeCell ref="V6:W6"/>
    <mergeCell ref="X6:Y6"/>
    <mergeCell ref="Z6:AA6"/>
    <mergeCell ref="AG6:AH6"/>
    <mergeCell ref="AK6:AL6"/>
    <mergeCell ref="F7:G7"/>
    <mergeCell ref="L7:M7"/>
    <mergeCell ref="R7:S7"/>
    <mergeCell ref="V7:W7"/>
    <mergeCell ref="X7:Y7"/>
    <mergeCell ref="Z7:AA7"/>
    <mergeCell ref="AG7:AH7"/>
    <mergeCell ref="AK7:AL7"/>
    <mergeCell ref="AM7:AN7"/>
    <mergeCell ref="AO7:AP7"/>
    <mergeCell ref="A8:B8"/>
    <mergeCell ref="C8:E8"/>
    <mergeCell ref="F8:G8"/>
    <mergeCell ref="L8:M8"/>
    <mergeCell ref="R8:S8"/>
    <mergeCell ref="V8:W8"/>
    <mergeCell ref="X8:Y8"/>
    <mergeCell ref="Z8:AA8"/>
    <mergeCell ref="AG8:AH8"/>
    <mergeCell ref="AK8:AL8"/>
    <mergeCell ref="AM8:AN8"/>
    <mergeCell ref="AO8:AP8"/>
    <mergeCell ref="AQ8:AU8"/>
    <mergeCell ref="A9:B9"/>
    <mergeCell ref="C9:E9"/>
    <mergeCell ref="F9:G9"/>
    <mergeCell ref="L9:M9"/>
    <mergeCell ref="R9:S9"/>
    <mergeCell ref="V9:W9"/>
    <mergeCell ref="X9:Y9"/>
    <mergeCell ref="Z9:AA9"/>
    <mergeCell ref="AG9:AH9"/>
    <mergeCell ref="AK9:AL9"/>
    <mergeCell ref="AM9:AN9"/>
    <mergeCell ref="AO9:AP9"/>
    <mergeCell ref="AQ9:AU9"/>
    <mergeCell ref="A10:B10"/>
    <mergeCell ref="C10:E10"/>
    <mergeCell ref="F10:G10"/>
    <mergeCell ref="L10:M10"/>
    <mergeCell ref="R10:S10"/>
    <mergeCell ref="V10:W10"/>
    <mergeCell ref="X10:Y10"/>
    <mergeCell ref="Z10:AA10"/>
    <mergeCell ref="AG10:AH10"/>
    <mergeCell ref="AK10:AL10"/>
    <mergeCell ref="AM10:AN10"/>
    <mergeCell ref="AO10:AP10"/>
    <mergeCell ref="AQ10:AU10"/>
    <mergeCell ref="A11:B11"/>
    <mergeCell ref="C11:E11"/>
    <mergeCell ref="F11:G11"/>
    <mergeCell ref="L11:M11"/>
    <mergeCell ref="R11:S11"/>
    <mergeCell ref="V11:W11"/>
    <mergeCell ref="X11:Y11"/>
    <mergeCell ref="Z11:AA11"/>
    <mergeCell ref="AG11:AH11"/>
    <mergeCell ref="AK11:AL11"/>
    <mergeCell ref="AM11:AN11"/>
    <mergeCell ref="AO11:AP11"/>
    <mergeCell ref="AQ11:AU11"/>
    <mergeCell ref="A12:B12"/>
    <mergeCell ref="C12:E12"/>
    <mergeCell ref="F12:G12"/>
    <mergeCell ref="L12:M12"/>
    <mergeCell ref="R12:S12"/>
    <mergeCell ref="V12:W12"/>
    <mergeCell ref="X12:Y12"/>
    <mergeCell ref="Z12:AA12"/>
    <mergeCell ref="AG12:AH12"/>
    <mergeCell ref="AK12:AL12"/>
    <mergeCell ref="AM12:AN12"/>
    <mergeCell ref="AO12:AP12"/>
    <mergeCell ref="AQ12:AU12"/>
    <mergeCell ref="A13:B13"/>
    <mergeCell ref="C13:E13"/>
    <mergeCell ref="F13:G13"/>
    <mergeCell ref="L13:M13"/>
    <mergeCell ref="R13:S13"/>
    <mergeCell ref="V13:W13"/>
    <mergeCell ref="X13:Y13"/>
    <mergeCell ref="Z13:AA13"/>
    <mergeCell ref="AG13:AH13"/>
    <mergeCell ref="AK13:AL13"/>
    <mergeCell ref="AM13:AN13"/>
    <mergeCell ref="AO13:AP13"/>
    <mergeCell ref="AQ13:AU13"/>
    <mergeCell ref="A14:B14"/>
    <mergeCell ref="F14:G14"/>
    <mergeCell ref="L14:M14"/>
    <mergeCell ref="R14:S14"/>
    <mergeCell ref="V14:W14"/>
    <mergeCell ref="X14:Y14"/>
    <mergeCell ref="Z14:AA14"/>
    <mergeCell ref="AG14:AH14"/>
    <mergeCell ref="AK14:AL14"/>
    <mergeCell ref="AM14:AN14"/>
    <mergeCell ref="AO14:AP14"/>
    <mergeCell ref="AQ14:AU14"/>
    <mergeCell ref="A15:B15"/>
    <mergeCell ref="C15:E15"/>
    <mergeCell ref="F15:G15"/>
    <mergeCell ref="L15:M15"/>
    <mergeCell ref="R15:S15"/>
    <mergeCell ref="V15:W15"/>
    <mergeCell ref="X15:Y15"/>
    <mergeCell ref="Z15:AA15"/>
    <mergeCell ref="AG15:AH15"/>
    <mergeCell ref="AK15:AL15"/>
    <mergeCell ref="AM15:AN15"/>
    <mergeCell ref="AO15:AP15"/>
    <mergeCell ref="AQ15:AU15"/>
    <mergeCell ref="A16:B16"/>
    <mergeCell ref="C16:E16"/>
    <mergeCell ref="F16:G16"/>
    <mergeCell ref="L16:M16"/>
    <mergeCell ref="R16:S16"/>
    <mergeCell ref="V16:W16"/>
    <mergeCell ref="X16:Y16"/>
    <mergeCell ref="Z16:AA16"/>
    <mergeCell ref="AG16:AH16"/>
    <mergeCell ref="AK16:AL16"/>
    <mergeCell ref="AM16:AN16"/>
    <mergeCell ref="AO16:AP16"/>
    <mergeCell ref="AQ16:AU16"/>
    <mergeCell ref="A17:B17"/>
    <mergeCell ref="C17:E17"/>
    <mergeCell ref="F17:G17"/>
    <mergeCell ref="L17:M17"/>
    <mergeCell ref="R17:S17"/>
    <mergeCell ref="V17:W17"/>
    <mergeCell ref="X17:Y17"/>
    <mergeCell ref="Z17:AA17"/>
    <mergeCell ref="AG17:AH17"/>
    <mergeCell ref="AK17:AL17"/>
    <mergeCell ref="AM17:AN17"/>
    <mergeCell ref="AO17:AP17"/>
    <mergeCell ref="AQ17:AU17"/>
    <mergeCell ref="A18:B18"/>
    <mergeCell ref="C18:E18"/>
    <mergeCell ref="F18:G18"/>
    <mergeCell ref="L18:M18"/>
    <mergeCell ref="R18:S18"/>
    <mergeCell ref="V18:W18"/>
    <mergeCell ref="X18:Y18"/>
    <mergeCell ref="Z18:AA18"/>
    <mergeCell ref="AG18:AH18"/>
    <mergeCell ref="AK18:AL18"/>
    <mergeCell ref="AM18:AN18"/>
    <mergeCell ref="AO18:AP18"/>
    <mergeCell ref="AQ18:AU18"/>
    <mergeCell ref="A19:B19"/>
    <mergeCell ref="C19:E19"/>
    <mergeCell ref="F19:G19"/>
    <mergeCell ref="L19:M19"/>
    <mergeCell ref="R19:S19"/>
    <mergeCell ref="V19:W19"/>
    <mergeCell ref="X19:Y19"/>
    <mergeCell ref="Z19:AA19"/>
    <mergeCell ref="AG19:AH19"/>
    <mergeCell ref="AK19:AL19"/>
    <mergeCell ref="AM19:AN19"/>
    <mergeCell ref="AO19:AP19"/>
    <mergeCell ref="AQ19:AU19"/>
    <mergeCell ref="A20:B20"/>
    <mergeCell ref="C20:E20"/>
    <mergeCell ref="F20:G20"/>
    <mergeCell ref="L20:M20"/>
    <mergeCell ref="R20:S20"/>
    <mergeCell ref="V20:W20"/>
    <mergeCell ref="X20:Y20"/>
    <mergeCell ref="Z20:AA20"/>
    <mergeCell ref="AG20:AH20"/>
    <mergeCell ref="AK20:AL20"/>
    <mergeCell ref="AM20:AN20"/>
    <mergeCell ref="AO20:AP20"/>
    <mergeCell ref="AQ20:AU20"/>
    <mergeCell ref="A21:B21"/>
    <mergeCell ref="C21:E21"/>
    <mergeCell ref="F21:G21"/>
    <mergeCell ref="L21:M21"/>
    <mergeCell ref="R21:S21"/>
    <mergeCell ref="V21:W21"/>
    <mergeCell ref="X21:Y21"/>
    <mergeCell ref="Z21:AA21"/>
    <mergeCell ref="AG21:AH21"/>
    <mergeCell ref="AK21:AL21"/>
    <mergeCell ref="AM21:AN21"/>
    <mergeCell ref="AO21:AP21"/>
    <mergeCell ref="AQ21:AU21"/>
    <mergeCell ref="A22:B22"/>
    <mergeCell ref="C22:E22"/>
    <mergeCell ref="F22:G22"/>
    <mergeCell ref="L22:M22"/>
    <mergeCell ref="R22:S22"/>
    <mergeCell ref="V22:W22"/>
    <mergeCell ref="X22:Y22"/>
    <mergeCell ref="Z22:AA22"/>
    <mergeCell ref="AG22:AH22"/>
    <mergeCell ref="AK22:AL22"/>
    <mergeCell ref="AM22:AN22"/>
    <mergeCell ref="AO22:AP22"/>
    <mergeCell ref="AQ22:AU22"/>
    <mergeCell ref="A23:B23"/>
    <mergeCell ref="C23:E23"/>
    <mergeCell ref="F23:G23"/>
    <mergeCell ref="L23:M23"/>
    <mergeCell ref="R23:S23"/>
    <mergeCell ref="V23:W23"/>
    <mergeCell ref="X23:Y23"/>
    <mergeCell ref="Z23:AA23"/>
    <mergeCell ref="AG23:AH23"/>
    <mergeCell ref="AK23:AL23"/>
    <mergeCell ref="AM23:AN23"/>
    <mergeCell ref="AO23:AP23"/>
    <mergeCell ref="AQ23:AU23"/>
    <mergeCell ref="A24:B24"/>
    <mergeCell ref="C24:E24"/>
    <mergeCell ref="F24:G24"/>
    <mergeCell ref="L24:M24"/>
    <mergeCell ref="R24:S24"/>
    <mergeCell ref="V24:W24"/>
    <mergeCell ref="X24:Y24"/>
    <mergeCell ref="Z24:AA24"/>
    <mergeCell ref="AG24:AH24"/>
    <mergeCell ref="AK24:AL24"/>
    <mergeCell ref="AM24:AN24"/>
    <mergeCell ref="AO24:AP24"/>
    <mergeCell ref="AQ24:AU24"/>
    <mergeCell ref="A25:B25"/>
    <mergeCell ref="C25:E25"/>
    <mergeCell ref="F25:G25"/>
    <mergeCell ref="L25:M25"/>
    <mergeCell ref="R25:S25"/>
    <mergeCell ref="V25:W25"/>
    <mergeCell ref="X25:Y25"/>
    <mergeCell ref="Z25:AA25"/>
    <mergeCell ref="AG25:AH25"/>
    <mergeCell ref="AK25:AL25"/>
    <mergeCell ref="AM25:AN25"/>
    <mergeCell ref="AO25:AP25"/>
    <mergeCell ref="AQ25:AU25"/>
    <mergeCell ref="A26:B26"/>
    <mergeCell ref="C26:D26"/>
    <mergeCell ref="F26:G26"/>
    <mergeCell ref="AM26:AN26"/>
    <mergeCell ref="AO26:AP26"/>
    <mergeCell ref="AQ26:AT26"/>
    <mergeCell ref="L26:M26"/>
    <mergeCell ref="R26:S26"/>
    <mergeCell ref="V26:W26"/>
    <mergeCell ref="A27:B27"/>
    <mergeCell ref="C27:E27"/>
    <mergeCell ref="F27:G27"/>
    <mergeCell ref="L27:M27"/>
    <mergeCell ref="R27:S27"/>
    <mergeCell ref="V27:W27"/>
    <mergeCell ref="X27:Y27"/>
    <mergeCell ref="Z27:AA27"/>
    <mergeCell ref="AG27:AH27"/>
    <mergeCell ref="AK27:AL27"/>
    <mergeCell ref="AM27:AN27"/>
    <mergeCell ref="AO27:AP27"/>
    <mergeCell ref="AQ27:AU27"/>
    <mergeCell ref="A28:B28"/>
    <mergeCell ref="C28:E28"/>
    <mergeCell ref="F28:G28"/>
    <mergeCell ref="L28:M28"/>
    <mergeCell ref="R28:S28"/>
    <mergeCell ref="V28:W28"/>
    <mergeCell ref="X28:Y28"/>
    <mergeCell ref="Z28:AA28"/>
    <mergeCell ref="AG28:AH28"/>
    <mergeCell ref="AK28:AL28"/>
    <mergeCell ref="AM28:AN28"/>
    <mergeCell ref="AO28:AP28"/>
    <mergeCell ref="AQ28:AU28"/>
    <mergeCell ref="AW28:AY28"/>
    <mergeCell ref="A29:B29"/>
    <mergeCell ref="C29:E29"/>
    <mergeCell ref="F29:G29"/>
    <mergeCell ref="L29:M29"/>
    <mergeCell ref="R29:S29"/>
    <mergeCell ref="V29:W29"/>
    <mergeCell ref="X29:Y29"/>
    <mergeCell ref="Z29:AA29"/>
    <mergeCell ref="AG29:AH29"/>
    <mergeCell ref="AK29:AL29"/>
    <mergeCell ref="AM29:AN29"/>
    <mergeCell ref="AO29:AP29"/>
    <mergeCell ref="AQ29:AU29"/>
    <mergeCell ref="A30:B30"/>
    <mergeCell ref="C30:E30"/>
    <mergeCell ref="F30:G30"/>
    <mergeCell ref="L30:M30"/>
    <mergeCell ref="R30:S30"/>
    <mergeCell ref="V30:W30"/>
    <mergeCell ref="X30:Y30"/>
    <mergeCell ref="Z30:AA30"/>
    <mergeCell ref="AG30:AH30"/>
    <mergeCell ref="AK30:AL30"/>
    <mergeCell ref="AM30:AN30"/>
    <mergeCell ref="AO30:AP30"/>
    <mergeCell ref="AQ30:AU30"/>
    <mergeCell ref="A31:B31"/>
    <mergeCell ref="C31:E31"/>
    <mergeCell ref="F31:G31"/>
    <mergeCell ref="L31:M31"/>
    <mergeCell ref="R31:S31"/>
    <mergeCell ref="V31:W31"/>
    <mergeCell ref="X31:Y31"/>
    <mergeCell ref="Z31:AA31"/>
    <mergeCell ref="AG31:AH31"/>
    <mergeCell ref="AK31:AL31"/>
    <mergeCell ref="AM31:AN31"/>
    <mergeCell ref="AO31:AP31"/>
    <mergeCell ref="AQ31:AU31"/>
    <mergeCell ref="A32:B32"/>
    <mergeCell ref="C32:E32"/>
    <mergeCell ref="F32:G32"/>
    <mergeCell ref="L32:M32"/>
    <mergeCell ref="R32:S32"/>
    <mergeCell ref="V32:W32"/>
    <mergeCell ref="X32:Y32"/>
    <mergeCell ref="Z32:AA32"/>
    <mergeCell ref="AG32:AH32"/>
    <mergeCell ref="AK32:AL32"/>
    <mergeCell ref="AM32:AN32"/>
    <mergeCell ref="AO32:AP32"/>
    <mergeCell ref="AQ32:AU32"/>
    <mergeCell ref="A33:B33"/>
    <mergeCell ref="C33:E33"/>
    <mergeCell ref="F33:G33"/>
    <mergeCell ref="L33:M33"/>
    <mergeCell ref="R33:S33"/>
    <mergeCell ref="V33:W33"/>
    <mergeCell ref="X33:Y33"/>
    <mergeCell ref="Z33:AA33"/>
    <mergeCell ref="AG33:AH33"/>
    <mergeCell ref="AK33:AL33"/>
    <mergeCell ref="AM33:AN33"/>
    <mergeCell ref="AO33:AP33"/>
    <mergeCell ref="AQ33:AU33"/>
    <mergeCell ref="A34:B34"/>
    <mergeCell ref="C34:E34"/>
    <mergeCell ref="F34:G34"/>
    <mergeCell ref="L34:M34"/>
    <mergeCell ref="R34:S34"/>
    <mergeCell ref="V34:W34"/>
    <mergeCell ref="X34:Y34"/>
    <mergeCell ref="Z34:AA34"/>
    <mergeCell ref="AG34:AH34"/>
    <mergeCell ref="AK34:AL34"/>
    <mergeCell ref="AM34:AN34"/>
    <mergeCell ref="AO34:AP34"/>
    <mergeCell ref="AQ34:AU34"/>
    <mergeCell ref="A35:B35"/>
    <mergeCell ref="C35:E35"/>
    <mergeCell ref="F35:G35"/>
    <mergeCell ref="L35:M35"/>
    <mergeCell ref="R35:S35"/>
    <mergeCell ref="V35:W35"/>
    <mergeCell ref="X35:Y35"/>
    <mergeCell ref="Z35:AA35"/>
    <mergeCell ref="AG35:AH35"/>
    <mergeCell ref="AK35:AL35"/>
    <mergeCell ref="AM35:AN35"/>
    <mergeCell ref="AO35:AP35"/>
    <mergeCell ref="AQ35:AU35"/>
    <mergeCell ref="A36:B36"/>
    <mergeCell ref="C36:E36"/>
    <mergeCell ref="F36:G36"/>
    <mergeCell ref="L36:M36"/>
    <mergeCell ref="R36:S36"/>
    <mergeCell ref="V36:W36"/>
    <mergeCell ref="X36:Y36"/>
    <mergeCell ref="Z36:AA36"/>
    <mergeCell ref="AG36:AH36"/>
    <mergeCell ref="AK36:AL36"/>
    <mergeCell ref="AM36:AN36"/>
    <mergeCell ref="AO36:AP36"/>
    <mergeCell ref="AQ36:AU36"/>
    <mergeCell ref="A37:B37"/>
    <mergeCell ref="C37:E37"/>
    <mergeCell ref="F37:G37"/>
    <mergeCell ref="L37:M37"/>
    <mergeCell ref="R37:S37"/>
    <mergeCell ref="V37:W37"/>
    <mergeCell ref="X37:Y37"/>
    <mergeCell ref="Z37:AA37"/>
    <mergeCell ref="AG37:AH37"/>
    <mergeCell ref="AK37:AL37"/>
    <mergeCell ref="AM37:AN37"/>
    <mergeCell ref="AO37:AP37"/>
    <mergeCell ref="AQ37:AU37"/>
    <mergeCell ref="A38:B38"/>
    <mergeCell ref="C38:E38"/>
    <mergeCell ref="F38:G38"/>
    <mergeCell ref="L38:M38"/>
    <mergeCell ref="R38:S38"/>
    <mergeCell ref="V38:W38"/>
    <mergeCell ref="X38:Y38"/>
    <mergeCell ref="Z38:AA38"/>
    <mergeCell ref="AG38:AH38"/>
    <mergeCell ref="AK38:AL38"/>
    <mergeCell ref="AM38:AN38"/>
    <mergeCell ref="AO38:AP38"/>
    <mergeCell ref="AQ38:AU38"/>
    <mergeCell ref="A39:B39"/>
    <mergeCell ref="C39:E39"/>
    <mergeCell ref="F39:G39"/>
    <mergeCell ref="L39:M39"/>
    <mergeCell ref="R39:S39"/>
    <mergeCell ref="V39:W39"/>
    <mergeCell ref="X39:Y39"/>
    <mergeCell ref="Z39:AA39"/>
    <mergeCell ref="AG39:AH39"/>
    <mergeCell ref="AK39:AL39"/>
    <mergeCell ref="AM39:AN39"/>
    <mergeCell ref="AO39:AP39"/>
    <mergeCell ref="AQ39:AU39"/>
    <mergeCell ref="A40:B40"/>
    <mergeCell ref="C40:E40"/>
    <mergeCell ref="F40:G40"/>
    <mergeCell ref="L40:M40"/>
    <mergeCell ref="R40:S40"/>
    <mergeCell ref="V40:W40"/>
    <mergeCell ref="X40:Y40"/>
    <mergeCell ref="Z40:AA40"/>
    <mergeCell ref="AG40:AH40"/>
    <mergeCell ref="AK40:AL40"/>
    <mergeCell ref="AM40:AN40"/>
    <mergeCell ref="AO40:AP40"/>
    <mergeCell ref="AQ40:AU40"/>
    <mergeCell ref="A41:B41"/>
    <mergeCell ref="C41:E41"/>
    <mergeCell ref="F41:G41"/>
    <mergeCell ref="L41:M41"/>
    <mergeCell ref="R41:S41"/>
    <mergeCell ref="V41:W41"/>
    <mergeCell ref="X41:Y41"/>
    <mergeCell ref="Z41:AA41"/>
    <mergeCell ref="AG41:AH41"/>
    <mergeCell ref="AK41:AL41"/>
    <mergeCell ref="AM41:AN41"/>
    <mergeCell ref="AO41:AP41"/>
    <mergeCell ref="AQ41:AU41"/>
    <mergeCell ref="A42:B42"/>
    <mergeCell ref="C42:E42"/>
    <mergeCell ref="F42:G42"/>
    <mergeCell ref="L42:M42"/>
    <mergeCell ref="R42:S42"/>
    <mergeCell ref="V42:W42"/>
    <mergeCell ref="X42:Y42"/>
    <mergeCell ref="Z42:AA42"/>
    <mergeCell ref="AG42:AH42"/>
    <mergeCell ref="AK42:AL42"/>
    <mergeCell ref="AM42:AN42"/>
    <mergeCell ref="AO42:AP42"/>
    <mergeCell ref="AQ42:AU42"/>
    <mergeCell ref="A43:B43"/>
    <mergeCell ref="C43:E43"/>
    <mergeCell ref="F43:G43"/>
    <mergeCell ref="L43:M43"/>
    <mergeCell ref="R43:S43"/>
    <mergeCell ref="V43:W43"/>
    <mergeCell ref="X43:Y43"/>
    <mergeCell ref="Z43:AA43"/>
    <mergeCell ref="AG43:AH43"/>
    <mergeCell ref="AK43:AL43"/>
    <mergeCell ref="AM43:AN43"/>
    <mergeCell ref="AO43:AP43"/>
    <mergeCell ref="AQ43:AU43"/>
    <mergeCell ref="A44:B44"/>
    <mergeCell ref="C44:E44"/>
    <mergeCell ref="F44:G44"/>
    <mergeCell ref="L44:M44"/>
    <mergeCell ref="R44:S44"/>
    <mergeCell ref="V44:W44"/>
    <mergeCell ref="X44:Y44"/>
    <mergeCell ref="Z44:AA44"/>
    <mergeCell ref="AG44:AH44"/>
    <mergeCell ref="AK44:AL44"/>
    <mergeCell ref="AM44:AN44"/>
    <mergeCell ref="AO44:AP44"/>
    <mergeCell ref="AQ44:AU44"/>
    <mergeCell ref="A45:B45"/>
    <mergeCell ref="C45:E45"/>
    <mergeCell ref="F45:G45"/>
    <mergeCell ref="L45:M45"/>
    <mergeCell ref="R45:S45"/>
    <mergeCell ref="V45:W45"/>
    <mergeCell ref="X45:Y45"/>
    <mergeCell ref="Z45:AA45"/>
    <mergeCell ref="AG45:AH45"/>
    <mergeCell ref="AK45:AL45"/>
    <mergeCell ref="AM45:AN45"/>
    <mergeCell ref="AO45:AP45"/>
    <mergeCell ref="AQ45:AU45"/>
    <mergeCell ref="A46:B46"/>
    <mergeCell ref="C46:E46"/>
    <mergeCell ref="F46:G46"/>
    <mergeCell ref="L46:M46"/>
    <mergeCell ref="R46:S46"/>
    <mergeCell ref="V46:W46"/>
    <mergeCell ref="X46:Y46"/>
    <mergeCell ref="Z46:AA46"/>
    <mergeCell ref="AG46:AH46"/>
    <mergeCell ref="AK46:AL46"/>
    <mergeCell ref="AM46:AN46"/>
    <mergeCell ref="AO46:AP46"/>
    <mergeCell ref="AQ46:AU46"/>
    <mergeCell ref="A47:B47"/>
    <mergeCell ref="C47:E47"/>
    <mergeCell ref="F47:G47"/>
    <mergeCell ref="L47:M47"/>
    <mergeCell ref="R47:S47"/>
    <mergeCell ref="V47:W47"/>
    <mergeCell ref="X47:Y47"/>
    <mergeCell ref="Z47:AA47"/>
    <mergeCell ref="AG47:AH47"/>
    <mergeCell ref="AK47:AL47"/>
    <mergeCell ref="AM47:AN47"/>
    <mergeCell ref="AO47:AP47"/>
    <mergeCell ref="AQ47:AU47"/>
    <mergeCell ref="A48:B48"/>
    <mergeCell ref="C48:E48"/>
    <mergeCell ref="F48:G48"/>
    <mergeCell ref="L48:M48"/>
    <mergeCell ref="R48:S48"/>
    <mergeCell ref="V48:W48"/>
    <mergeCell ref="X48:Y48"/>
    <mergeCell ref="Z48:AA48"/>
    <mergeCell ref="AG48:AH48"/>
    <mergeCell ref="AK48:AL48"/>
    <mergeCell ref="AM48:AN48"/>
    <mergeCell ref="AO48:AP48"/>
    <mergeCell ref="AQ48:AU48"/>
    <mergeCell ref="AW48:AY48"/>
    <mergeCell ref="A49:B49"/>
    <mergeCell ref="C49:E49"/>
    <mergeCell ref="F49:G49"/>
    <mergeCell ref="L49:M49"/>
    <mergeCell ref="R49:S49"/>
    <mergeCell ref="V49:W49"/>
    <mergeCell ref="X49:Y49"/>
    <mergeCell ref="Z49:AA49"/>
    <mergeCell ref="AG49:AH49"/>
    <mergeCell ref="AK49:AL49"/>
    <mergeCell ref="AM49:AN49"/>
    <mergeCell ref="AO49:AP49"/>
    <mergeCell ref="AQ49:AU49"/>
    <mergeCell ref="A50:B50"/>
    <mergeCell ref="C50:E50"/>
    <mergeCell ref="F50:G50"/>
    <mergeCell ref="L50:M50"/>
    <mergeCell ref="R50:S50"/>
    <mergeCell ref="V50:W50"/>
    <mergeCell ref="X50:Y50"/>
    <mergeCell ref="Z50:AA50"/>
    <mergeCell ref="AG50:AH50"/>
    <mergeCell ref="AK50:AL50"/>
    <mergeCell ref="AM50:AN50"/>
    <mergeCell ref="AO50:AP50"/>
    <mergeCell ref="AQ50:AU50"/>
    <mergeCell ref="A51:X51"/>
    <mergeCell ref="Z51:AK51"/>
    <mergeCell ref="AM51:AO52"/>
    <mergeCell ref="AP51:AQ52"/>
    <mergeCell ref="AR51:AU51"/>
    <mergeCell ref="A52:X55"/>
    <mergeCell ref="Z52:AK53"/>
    <mergeCell ref="AT52:AU52"/>
    <mergeCell ref="AM53:AQ54"/>
    <mergeCell ref="AR53:AR54"/>
    <mergeCell ref="AS53:AS54"/>
    <mergeCell ref="AT53:AU54"/>
    <mergeCell ref="Z54:AK55"/>
    <mergeCell ref="AM55:AO56"/>
    <mergeCell ref="AP55:AQ56"/>
    <mergeCell ref="AR55:AR58"/>
    <mergeCell ref="AS55:AS58"/>
    <mergeCell ref="AT55:AU58"/>
    <mergeCell ref="B56:F58"/>
    <mergeCell ref="G56:S57"/>
    <mergeCell ref="T56:V58"/>
    <mergeCell ref="Z56:AK57"/>
    <mergeCell ref="AM57:AQ58"/>
    <mergeCell ref="G58:S58"/>
    <mergeCell ref="Z58:AK61"/>
    <mergeCell ref="B59:F60"/>
    <mergeCell ref="G59:S59"/>
    <mergeCell ref="AM59:AQ59"/>
    <mergeCell ref="AR59:AR60"/>
    <mergeCell ref="AS59:AS60"/>
    <mergeCell ref="AT59:AU60"/>
    <mergeCell ref="G60:S60"/>
    <mergeCell ref="AM60:AQ60"/>
    <mergeCell ref="B61:F62"/>
    <mergeCell ref="G61:S61"/>
    <mergeCell ref="T61:V62"/>
    <mergeCell ref="AM61:AQ61"/>
    <mergeCell ref="AR61:AR62"/>
    <mergeCell ref="AS61:AS62"/>
    <mergeCell ref="AT61:AU62"/>
    <mergeCell ref="G62:S62"/>
    <mergeCell ref="Z62:AK62"/>
    <mergeCell ref="AM62:AQ62"/>
    <mergeCell ref="Z63:AK67"/>
    <mergeCell ref="AM63:AQ64"/>
    <mergeCell ref="AR63:AR64"/>
    <mergeCell ref="AS63:AS64"/>
    <mergeCell ref="AT63:AU64"/>
    <mergeCell ref="A64:X67"/>
    <mergeCell ref="AM65:AQ65"/>
    <mergeCell ref="AT65:AU65"/>
    <mergeCell ref="AM66:AQ66"/>
    <mergeCell ref="AT66:AU66"/>
    <mergeCell ref="AM67:AQ68"/>
    <mergeCell ref="AR67:AR68"/>
    <mergeCell ref="AS67:AS68"/>
    <mergeCell ref="AT67:AU68"/>
    <mergeCell ref="AN78:AU79"/>
    <mergeCell ref="Z79:AK80"/>
    <mergeCell ref="AM80:AU81"/>
    <mergeCell ref="Z68:AK69"/>
    <mergeCell ref="AM69:AQ70"/>
    <mergeCell ref="AR69:AR70"/>
    <mergeCell ref="AS69:AS70"/>
    <mergeCell ref="AT69:AU70"/>
    <mergeCell ref="Z83:AK83"/>
    <mergeCell ref="AN83:AU83"/>
    <mergeCell ref="Z70:AK73"/>
    <mergeCell ref="AG26:AH26"/>
    <mergeCell ref="Z74:AK74"/>
    <mergeCell ref="AM74:AU75"/>
    <mergeCell ref="Z75:AK76"/>
    <mergeCell ref="AN76:AU77"/>
    <mergeCell ref="Z77:AK77"/>
    <mergeCell ref="AM71:AQ72"/>
    <mergeCell ref="X26:Y26"/>
    <mergeCell ref="Z26:AA26"/>
    <mergeCell ref="AT71:AU72"/>
    <mergeCell ref="AK26:AL26"/>
    <mergeCell ref="Z82:AK82"/>
    <mergeCell ref="AN82:AT82"/>
    <mergeCell ref="AR71:AR72"/>
    <mergeCell ref="AS71:AS72"/>
    <mergeCell ref="B68:X71"/>
    <mergeCell ref="Z78:AK78"/>
  </mergeCells>
  <pageMargins left="0.27777777777777779" right="0.27777777777777779" top="0.27777777777777779" bottom="0.27777777777777779" header="0" footer="0"/>
  <pageSetup paperSize="9" firstPageNumber="0" pageOrder="overThenDown"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ED4F5-56E7-48E2-AA66-4AFFA644997F}">
  <sheetPr>
    <tabColor theme="1"/>
  </sheetPr>
  <dimension ref="A1:AY84"/>
  <sheetViews>
    <sheetView zoomScaleNormal="100" workbookViewId="0">
      <selection activeCell="AV58" sqref="AV58"/>
    </sheetView>
  </sheetViews>
  <sheetFormatPr defaultColWidth="8.7109375" defaultRowHeight="12.75"/>
  <cols>
    <col min="1" max="1" width="1.7109375" style="36" bestFit="1" customWidth="1"/>
    <col min="2" max="2" width="1.28515625" style="36" bestFit="1" customWidth="1"/>
    <col min="3" max="3" width="14.140625" style="36" bestFit="1" customWidth="1"/>
    <col min="4" max="4" width="8.7109375" style="36" bestFit="1" customWidth="1"/>
    <col min="5" max="5" width="0.28515625" style="36" bestFit="1" customWidth="1"/>
    <col min="6" max="6" width="0.7109375" style="36" bestFit="1" customWidth="1"/>
    <col min="7" max="7" width="2" style="36" bestFit="1" customWidth="1"/>
    <col min="8" max="8" width="3.28515625" style="36" customWidth="1"/>
    <col min="9" max="11" width="3.42578125" style="36" customWidth="1"/>
    <col min="12" max="12" width="3" style="36" customWidth="1"/>
    <col min="13" max="13" width="0.28515625" style="36" bestFit="1" customWidth="1"/>
    <col min="14" max="14" width="3.42578125" style="36" customWidth="1"/>
    <col min="15" max="16" width="3.28515625" style="36" customWidth="1"/>
    <col min="17" max="17" width="3.42578125" style="36" customWidth="1"/>
    <col min="18" max="18" width="0.7109375" style="36" bestFit="1" customWidth="1"/>
    <col min="19" max="19" width="2" style="36" bestFit="1" customWidth="1"/>
    <col min="20" max="20" width="3.140625" style="36" customWidth="1"/>
    <col min="21" max="21" width="3.28515625" style="36" customWidth="1"/>
    <col min="22" max="22" width="0.7109375" style="36" bestFit="1" customWidth="1"/>
    <col min="23" max="23" width="2.28515625" style="36" bestFit="1" customWidth="1"/>
    <col min="24" max="24" width="1.28515625" style="36" bestFit="1" customWidth="1"/>
    <col min="25" max="26" width="1.7109375" style="36" bestFit="1" customWidth="1"/>
    <col min="27" max="27" width="1.28515625" style="36" bestFit="1" customWidth="1"/>
    <col min="28" max="29" width="2.85546875" style="36" customWidth="1"/>
    <col min="30" max="30" width="3.140625" style="36" customWidth="1"/>
    <col min="31" max="31" width="3.28515625" style="36" bestFit="1" customWidth="1"/>
    <col min="32" max="32" width="3.140625" style="36" customWidth="1"/>
    <col min="33" max="33" width="2.7109375" style="36" bestFit="1" customWidth="1"/>
    <col min="34" max="34" width="0.28515625" style="36" bestFit="1" customWidth="1"/>
    <col min="35" max="35" width="3.28515625" style="36" customWidth="1"/>
    <col min="36" max="36" width="3.42578125" style="36" customWidth="1"/>
    <col min="37" max="37" width="1.28515625" style="36" bestFit="1" customWidth="1"/>
    <col min="38" max="39" width="1.7109375" style="36" bestFit="1" customWidth="1"/>
    <col min="40" max="40" width="4.5703125" style="36" customWidth="1"/>
    <col min="41" max="41" width="5" style="36" bestFit="1" customWidth="1"/>
    <col min="42" max="42" width="1.42578125" style="36" customWidth="1"/>
    <col min="43" max="43" width="8.85546875" style="36" customWidth="1"/>
    <col min="44" max="44" width="5.5703125" style="36" customWidth="1"/>
    <col min="45" max="45" width="5" style="36" customWidth="1"/>
    <col min="46" max="46" width="5.140625" style="36" customWidth="1"/>
    <col min="47" max="47" width="0.28515625" style="36" bestFit="1" customWidth="1"/>
    <col min="48" max="16384" width="8.7109375" style="36"/>
  </cols>
  <sheetData>
    <row r="1" spans="1:51" ht="30" customHeight="1">
      <c r="A1" s="291" t="s">
        <v>0</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row>
    <row r="2" spans="1:51" ht="19.899999999999999" customHeight="1">
      <c r="A2" s="292" t="s">
        <v>1</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row>
    <row r="3" spans="1:51" ht="19.899999999999999" customHeight="1" thickBot="1">
      <c r="A3" s="287" t="s">
        <v>2</v>
      </c>
      <c r="B3" s="72"/>
      <c r="C3" s="72"/>
      <c r="D3" s="72"/>
      <c r="E3" s="1"/>
      <c r="F3" s="284">
        <v>132839</v>
      </c>
      <c r="G3" s="285"/>
      <c r="H3" s="285"/>
      <c r="I3" s="286"/>
      <c r="J3" s="287" t="s">
        <v>3</v>
      </c>
      <c r="K3" s="72"/>
      <c r="L3" s="72"/>
      <c r="M3" s="284" t="s">
        <v>79</v>
      </c>
      <c r="N3" s="285"/>
      <c r="O3" s="285"/>
      <c r="P3" s="285"/>
      <c r="Q3" s="285"/>
      <c r="R3" s="286"/>
      <c r="S3" s="287" t="s">
        <v>4</v>
      </c>
      <c r="T3" s="72"/>
      <c r="U3" s="72"/>
      <c r="V3" s="72"/>
      <c r="W3" s="72"/>
      <c r="X3" s="72"/>
      <c r="Y3" s="72"/>
      <c r="Z3" s="72"/>
      <c r="AA3" s="284" t="s">
        <v>83</v>
      </c>
      <c r="AB3" s="285"/>
      <c r="AC3" s="285"/>
      <c r="AD3" s="285"/>
      <c r="AE3" s="285"/>
      <c r="AF3" s="285"/>
      <c r="AG3" s="286"/>
      <c r="AH3" s="1"/>
      <c r="AI3" s="1"/>
      <c r="AJ3" s="1"/>
      <c r="AK3" s="1"/>
      <c r="AL3" s="1"/>
      <c r="AM3" s="1"/>
      <c r="AN3" s="1"/>
      <c r="AO3" s="1"/>
      <c r="AP3" s="1"/>
      <c r="AQ3" s="1"/>
      <c r="AR3" s="1"/>
      <c r="AS3" s="1"/>
      <c r="AT3" s="1"/>
      <c r="AU3" s="1"/>
    </row>
    <row r="4" spans="1:51" ht="19.899999999999999" customHeight="1" thickBot="1">
      <c r="A4" s="287" t="s">
        <v>6</v>
      </c>
      <c r="B4" s="72"/>
      <c r="C4" s="72"/>
      <c r="D4" s="72"/>
      <c r="E4" s="1"/>
      <c r="F4" s="284" t="s">
        <v>123</v>
      </c>
      <c r="G4" s="285"/>
      <c r="H4" s="285"/>
      <c r="I4" s="285"/>
      <c r="J4" s="285"/>
      <c r="K4" s="285"/>
      <c r="L4" s="285"/>
      <c r="M4" s="285"/>
      <c r="N4" s="285"/>
      <c r="O4" s="285"/>
      <c r="P4" s="285"/>
      <c r="Q4" s="285"/>
      <c r="R4" s="286"/>
      <c r="S4" s="287" t="s">
        <v>7</v>
      </c>
      <c r="T4" s="72"/>
      <c r="U4" s="72"/>
      <c r="V4" s="72"/>
      <c r="W4" s="72"/>
      <c r="X4" s="72"/>
      <c r="Y4" s="72"/>
      <c r="Z4" s="72"/>
      <c r="AA4" s="284" t="s">
        <v>124</v>
      </c>
      <c r="AB4" s="285"/>
      <c r="AC4" s="285"/>
      <c r="AD4" s="285"/>
      <c r="AE4" s="285"/>
      <c r="AF4" s="285"/>
      <c r="AG4" s="286"/>
      <c r="AH4" s="1"/>
      <c r="AI4" s="287" t="s">
        <v>8</v>
      </c>
      <c r="AJ4" s="72"/>
      <c r="AK4" s="72"/>
      <c r="AL4" s="72"/>
      <c r="AM4" s="284" t="s">
        <v>129</v>
      </c>
      <c r="AN4" s="285"/>
      <c r="AO4" s="285"/>
      <c r="AP4" s="285"/>
      <c r="AQ4" s="285"/>
      <c r="AR4" s="285"/>
      <c r="AS4" s="285"/>
      <c r="AT4" s="285"/>
      <c r="AU4" s="286"/>
      <c r="AW4" s="288" t="s">
        <v>73</v>
      </c>
      <c r="AX4" s="289"/>
      <c r="AY4" s="290"/>
    </row>
    <row r="5" spans="1:51" ht="10.15" customHeight="1">
      <c r="A5" s="259" t="s">
        <v>9</v>
      </c>
      <c r="B5" s="260"/>
      <c r="C5" s="259" t="s">
        <v>10</v>
      </c>
      <c r="D5" s="265"/>
      <c r="E5" s="260"/>
      <c r="F5" s="267" t="s">
        <v>11</v>
      </c>
      <c r="G5" s="268"/>
      <c r="H5" s="268"/>
      <c r="I5" s="268"/>
      <c r="J5" s="268"/>
      <c r="K5" s="268"/>
      <c r="L5" s="268"/>
      <c r="M5" s="268"/>
      <c r="N5" s="268"/>
      <c r="O5" s="268"/>
      <c r="P5" s="268"/>
      <c r="Q5" s="268"/>
      <c r="R5" s="268"/>
      <c r="S5" s="268"/>
      <c r="T5" s="268"/>
      <c r="U5" s="268"/>
      <c r="V5" s="268"/>
      <c r="W5" s="268"/>
      <c r="X5" s="268"/>
      <c r="Y5" s="268"/>
      <c r="Z5" s="268"/>
      <c r="AA5" s="268"/>
      <c r="AB5" s="268"/>
      <c r="AC5" s="268"/>
      <c r="AD5" s="268"/>
      <c r="AE5" s="268"/>
      <c r="AF5" s="268"/>
      <c r="AG5" s="268"/>
      <c r="AH5" s="268"/>
      <c r="AI5" s="268"/>
      <c r="AJ5" s="268"/>
      <c r="AK5" s="268"/>
      <c r="AL5" s="269"/>
      <c r="AM5" s="270" t="s">
        <v>12</v>
      </c>
      <c r="AN5" s="271"/>
      <c r="AO5" s="271"/>
      <c r="AP5" s="272"/>
      <c r="AQ5" s="276" t="s">
        <v>13</v>
      </c>
      <c r="AR5" s="277"/>
      <c r="AS5" s="277"/>
      <c r="AT5" s="277"/>
      <c r="AU5" s="278"/>
      <c r="AW5" s="281">
        <v>23</v>
      </c>
      <c r="AX5" s="282"/>
      <c r="AY5" s="283"/>
    </row>
    <row r="6" spans="1:51" ht="15" customHeight="1" thickBot="1">
      <c r="A6" s="261"/>
      <c r="B6" s="262"/>
      <c r="C6" s="261"/>
      <c r="D6" s="72"/>
      <c r="E6" s="262"/>
      <c r="F6" s="257"/>
      <c r="G6" s="256"/>
      <c r="H6" s="9">
        <v>1</v>
      </c>
      <c r="I6" s="9">
        <v>2</v>
      </c>
      <c r="J6" s="9">
        <v>3</v>
      </c>
      <c r="K6" s="9">
        <v>4</v>
      </c>
      <c r="L6" s="257">
        <v>7</v>
      </c>
      <c r="M6" s="256"/>
      <c r="N6" s="9">
        <v>8</v>
      </c>
      <c r="O6" s="9">
        <v>9</v>
      </c>
      <c r="P6" s="9">
        <v>10</v>
      </c>
      <c r="Q6" s="9">
        <v>11</v>
      </c>
      <c r="R6" s="257">
        <v>14</v>
      </c>
      <c r="S6" s="256"/>
      <c r="T6" s="9">
        <v>15</v>
      </c>
      <c r="U6" s="9">
        <v>16</v>
      </c>
      <c r="V6" s="255">
        <v>17</v>
      </c>
      <c r="W6" s="256"/>
      <c r="X6" s="255">
        <v>18</v>
      </c>
      <c r="Y6" s="256"/>
      <c r="Z6" s="257">
        <v>21</v>
      </c>
      <c r="AA6" s="256"/>
      <c r="AB6" s="9">
        <v>22</v>
      </c>
      <c r="AC6" s="9">
        <v>23</v>
      </c>
      <c r="AD6" s="9">
        <v>24</v>
      </c>
      <c r="AE6" s="9">
        <v>25</v>
      </c>
      <c r="AF6" s="10">
        <v>28</v>
      </c>
      <c r="AG6" s="255">
        <v>29</v>
      </c>
      <c r="AH6" s="256"/>
      <c r="AI6" s="9">
        <v>30</v>
      </c>
      <c r="AJ6" s="9">
        <v>31</v>
      </c>
      <c r="AK6" s="255"/>
      <c r="AL6" s="256"/>
      <c r="AM6" s="273"/>
      <c r="AN6" s="274"/>
      <c r="AO6" s="274"/>
      <c r="AP6" s="275"/>
      <c r="AQ6" s="87"/>
      <c r="AR6" s="72"/>
      <c r="AS6" s="72"/>
      <c r="AT6" s="72"/>
      <c r="AU6" s="279"/>
      <c r="AW6" s="281"/>
      <c r="AX6" s="282"/>
      <c r="AY6" s="283"/>
    </row>
    <row r="7" spans="1:51" ht="15" customHeight="1" thickBot="1">
      <c r="A7" s="263"/>
      <c r="B7" s="264"/>
      <c r="C7" s="263"/>
      <c r="D7" s="266"/>
      <c r="E7" s="264"/>
      <c r="F7" s="258" t="s">
        <v>14</v>
      </c>
      <c r="G7" s="252"/>
      <c r="H7" s="13" t="s">
        <v>15</v>
      </c>
      <c r="I7" s="13" t="s">
        <v>16</v>
      </c>
      <c r="J7" s="13" t="s">
        <v>17</v>
      </c>
      <c r="K7" s="13" t="s">
        <v>18</v>
      </c>
      <c r="L7" s="258" t="s">
        <v>14</v>
      </c>
      <c r="M7" s="252"/>
      <c r="N7" s="13" t="s">
        <v>15</v>
      </c>
      <c r="O7" s="13" t="s">
        <v>16</v>
      </c>
      <c r="P7" s="13" t="s">
        <v>17</v>
      </c>
      <c r="Q7" s="13" t="s">
        <v>18</v>
      </c>
      <c r="R7" s="258" t="s">
        <v>14</v>
      </c>
      <c r="S7" s="252"/>
      <c r="T7" s="13" t="s">
        <v>15</v>
      </c>
      <c r="U7" s="13" t="s">
        <v>16</v>
      </c>
      <c r="V7" s="251" t="s">
        <v>17</v>
      </c>
      <c r="W7" s="252"/>
      <c r="X7" s="251" t="s">
        <v>18</v>
      </c>
      <c r="Y7" s="252"/>
      <c r="Z7" s="258" t="s">
        <v>14</v>
      </c>
      <c r="AA7" s="252"/>
      <c r="AB7" s="13" t="s">
        <v>15</v>
      </c>
      <c r="AC7" s="13" t="s">
        <v>16</v>
      </c>
      <c r="AD7" s="13" t="s">
        <v>17</v>
      </c>
      <c r="AE7" s="13" t="s">
        <v>18</v>
      </c>
      <c r="AF7" s="14" t="s">
        <v>14</v>
      </c>
      <c r="AG7" s="251" t="s">
        <v>15</v>
      </c>
      <c r="AH7" s="252"/>
      <c r="AI7" s="13" t="s">
        <v>16</v>
      </c>
      <c r="AJ7" s="13" t="s">
        <v>17</v>
      </c>
      <c r="AK7" s="251" t="s">
        <v>18</v>
      </c>
      <c r="AL7" s="252"/>
      <c r="AM7" s="253" t="s">
        <v>19</v>
      </c>
      <c r="AN7" s="254"/>
      <c r="AO7" s="253" t="s">
        <v>20</v>
      </c>
      <c r="AP7" s="254"/>
      <c r="AQ7" s="90"/>
      <c r="AR7" s="91"/>
      <c r="AS7" s="91"/>
      <c r="AT7" s="91"/>
      <c r="AU7" s="280"/>
      <c r="AW7" s="8"/>
      <c r="AY7" s="7"/>
    </row>
    <row r="8" spans="1:51" ht="19.899999999999999" customHeight="1">
      <c r="A8" s="220">
        <v>1</v>
      </c>
      <c r="B8" s="221"/>
      <c r="C8" s="231" t="s">
        <v>97</v>
      </c>
      <c r="D8" s="232"/>
      <c r="E8" s="233"/>
      <c r="F8" s="230"/>
      <c r="G8" s="228"/>
      <c r="H8" s="9"/>
      <c r="I8" s="9"/>
      <c r="J8" s="9"/>
      <c r="K8" s="11"/>
      <c r="L8" s="230"/>
      <c r="M8" s="228"/>
      <c r="N8" s="9"/>
      <c r="O8" s="9"/>
      <c r="P8" s="49" t="s">
        <v>126</v>
      </c>
      <c r="Q8" s="11"/>
      <c r="R8" s="230"/>
      <c r="S8" s="228"/>
      <c r="T8" s="9"/>
      <c r="U8" s="9"/>
      <c r="V8" s="227"/>
      <c r="W8" s="228"/>
      <c r="X8" s="227"/>
      <c r="Y8" s="229"/>
      <c r="Z8" s="230"/>
      <c r="AA8" s="228"/>
      <c r="AB8" s="9"/>
      <c r="AC8" s="9"/>
      <c r="AD8" s="9"/>
      <c r="AE8" s="11"/>
      <c r="AF8" s="10"/>
      <c r="AG8" s="227"/>
      <c r="AH8" s="228"/>
      <c r="AI8" s="9"/>
      <c r="AJ8" s="9"/>
      <c r="AK8" s="227" t="s">
        <v>5</v>
      </c>
      <c r="AL8" s="229"/>
      <c r="AM8" s="212">
        <v>1</v>
      </c>
      <c r="AN8" s="213"/>
      <c r="AO8" s="212">
        <f t="shared" ref="AO8:AO28" si="0">$AW$5-AM8</f>
        <v>22</v>
      </c>
      <c r="AP8" s="213"/>
      <c r="AQ8" s="214" t="s">
        <v>5</v>
      </c>
      <c r="AR8" s="215"/>
      <c r="AS8" s="215"/>
      <c r="AT8" s="215"/>
      <c r="AU8" s="216"/>
      <c r="AW8" s="8"/>
      <c r="AY8" s="7"/>
    </row>
    <row r="9" spans="1:51" ht="19.899999999999999" customHeight="1">
      <c r="A9" s="220">
        <v>2</v>
      </c>
      <c r="B9" s="221"/>
      <c r="C9" s="231" t="s">
        <v>98</v>
      </c>
      <c r="D9" s="232"/>
      <c r="E9" s="233"/>
      <c r="F9" s="230"/>
      <c r="G9" s="228"/>
      <c r="H9" s="9"/>
      <c r="I9" s="9"/>
      <c r="J9" s="9"/>
      <c r="K9" s="11"/>
      <c r="L9" s="230"/>
      <c r="M9" s="228"/>
      <c r="N9" s="9"/>
      <c r="O9" s="9"/>
      <c r="P9" s="9"/>
      <c r="Q9" s="11"/>
      <c r="R9" s="230"/>
      <c r="S9" s="228"/>
      <c r="T9" s="9"/>
      <c r="U9" s="9"/>
      <c r="V9" s="227"/>
      <c r="W9" s="228"/>
      <c r="X9" s="227"/>
      <c r="Y9" s="229"/>
      <c r="Z9" s="230"/>
      <c r="AA9" s="228"/>
      <c r="AB9" s="9"/>
      <c r="AC9" s="9"/>
      <c r="AD9" s="9"/>
      <c r="AE9" s="11"/>
      <c r="AF9" s="10"/>
      <c r="AG9" s="227"/>
      <c r="AH9" s="228"/>
      <c r="AI9" s="9"/>
      <c r="AJ9" s="9"/>
      <c r="AK9" s="227" t="s">
        <v>5</v>
      </c>
      <c r="AL9" s="229"/>
      <c r="AM9" s="212">
        <f t="shared" ref="AM9:AM28" si="1">COUNTIF(F9:AL9,"X")</f>
        <v>0</v>
      </c>
      <c r="AN9" s="213"/>
      <c r="AO9" s="212">
        <f t="shared" si="0"/>
        <v>23</v>
      </c>
      <c r="AP9" s="213"/>
      <c r="AQ9" s="214" t="s">
        <v>5</v>
      </c>
      <c r="AR9" s="215"/>
      <c r="AS9" s="215"/>
      <c r="AT9" s="215"/>
      <c r="AU9" s="216"/>
      <c r="AW9" s="8"/>
      <c r="AY9" s="7"/>
    </row>
    <row r="10" spans="1:51" ht="19.899999999999999" customHeight="1">
      <c r="A10" s="220">
        <v>3</v>
      </c>
      <c r="B10" s="221"/>
      <c r="C10" s="231" t="s">
        <v>99</v>
      </c>
      <c r="D10" s="232"/>
      <c r="E10" s="233"/>
      <c r="F10" s="230"/>
      <c r="G10" s="228"/>
      <c r="H10" s="9"/>
      <c r="I10" s="9"/>
      <c r="J10" s="9"/>
      <c r="K10" s="11"/>
      <c r="L10" s="230"/>
      <c r="M10" s="228"/>
      <c r="N10" s="9"/>
      <c r="O10" s="9"/>
      <c r="P10" s="9"/>
      <c r="Q10" s="49" t="s">
        <v>126</v>
      </c>
      <c r="R10" s="230" t="s">
        <v>126</v>
      </c>
      <c r="S10" s="228"/>
      <c r="T10" s="9"/>
      <c r="U10" s="9"/>
      <c r="V10" s="227"/>
      <c r="W10" s="228"/>
      <c r="X10" s="227"/>
      <c r="Y10" s="229"/>
      <c r="Z10" s="230"/>
      <c r="AA10" s="228"/>
      <c r="AB10" s="9"/>
      <c r="AC10" s="49" t="s">
        <v>126</v>
      </c>
      <c r="AD10" s="9"/>
      <c r="AE10" s="49" t="s">
        <v>126</v>
      </c>
      <c r="AF10" s="49" t="s">
        <v>126</v>
      </c>
      <c r="AG10" s="227"/>
      <c r="AH10" s="228"/>
      <c r="AI10" s="9"/>
      <c r="AJ10" s="9"/>
      <c r="AK10" s="227" t="s">
        <v>5</v>
      </c>
      <c r="AL10" s="229"/>
      <c r="AM10" s="212">
        <v>5</v>
      </c>
      <c r="AN10" s="213"/>
      <c r="AO10" s="212">
        <f t="shared" si="0"/>
        <v>18</v>
      </c>
      <c r="AP10" s="213"/>
      <c r="AQ10" s="214" t="s">
        <v>5</v>
      </c>
      <c r="AR10" s="215"/>
      <c r="AS10" s="215"/>
      <c r="AT10" s="215"/>
      <c r="AU10" s="216"/>
      <c r="AW10" s="8"/>
      <c r="AY10" s="7"/>
    </row>
    <row r="11" spans="1:51" ht="19.899999999999999" customHeight="1">
      <c r="A11" s="220">
        <v>4</v>
      </c>
      <c r="B11" s="221"/>
      <c r="C11" s="231" t="s">
        <v>100</v>
      </c>
      <c r="D11" s="232"/>
      <c r="E11" s="233"/>
      <c r="F11" s="230"/>
      <c r="G11" s="228"/>
      <c r="H11" s="9"/>
      <c r="I11" s="9"/>
      <c r="J11" s="9"/>
      <c r="K11" s="11"/>
      <c r="L11" s="230"/>
      <c r="M11" s="228"/>
      <c r="N11" s="9"/>
      <c r="O11" s="9"/>
      <c r="P11" s="9"/>
      <c r="Q11" s="11"/>
      <c r="R11" s="230"/>
      <c r="S11" s="228"/>
      <c r="T11" s="9"/>
      <c r="U11" s="9"/>
      <c r="V11" s="227"/>
      <c r="W11" s="228"/>
      <c r="X11" s="227"/>
      <c r="Y11" s="229"/>
      <c r="Z11" s="230"/>
      <c r="AA11" s="228"/>
      <c r="AB11" s="9"/>
      <c r="AC11" s="9"/>
      <c r="AD11" s="9"/>
      <c r="AE11" s="11"/>
      <c r="AF11" s="10"/>
      <c r="AG11" s="227"/>
      <c r="AH11" s="228"/>
      <c r="AI11" s="9"/>
      <c r="AJ11" s="9"/>
      <c r="AK11" s="227" t="s">
        <v>5</v>
      </c>
      <c r="AL11" s="229"/>
      <c r="AM11" s="212">
        <f t="shared" si="1"/>
        <v>0</v>
      </c>
      <c r="AN11" s="213"/>
      <c r="AO11" s="212">
        <f t="shared" si="0"/>
        <v>23</v>
      </c>
      <c r="AP11" s="213"/>
      <c r="AQ11" s="214" t="s">
        <v>5</v>
      </c>
      <c r="AR11" s="215"/>
      <c r="AS11" s="215"/>
      <c r="AT11" s="215"/>
      <c r="AU11" s="216"/>
      <c r="AW11" s="8"/>
      <c r="AY11" s="7"/>
    </row>
    <row r="12" spans="1:51" ht="19.899999999999999" customHeight="1">
      <c r="A12" s="220">
        <v>5</v>
      </c>
      <c r="B12" s="221"/>
      <c r="C12" s="231" t="s">
        <v>101</v>
      </c>
      <c r="D12" s="232"/>
      <c r="E12" s="233"/>
      <c r="F12" s="230"/>
      <c r="G12" s="228"/>
      <c r="H12" s="9"/>
      <c r="I12" s="9"/>
      <c r="J12" s="9"/>
      <c r="K12" s="11"/>
      <c r="L12" s="230"/>
      <c r="M12" s="228"/>
      <c r="N12" s="9"/>
      <c r="O12" s="9"/>
      <c r="P12" s="9"/>
      <c r="Q12" s="11"/>
      <c r="R12" s="230"/>
      <c r="S12" s="228"/>
      <c r="T12" s="9"/>
      <c r="U12" s="9"/>
      <c r="V12" s="227"/>
      <c r="W12" s="228"/>
      <c r="X12" s="227"/>
      <c r="Y12" s="229"/>
      <c r="Z12" s="230"/>
      <c r="AA12" s="228"/>
      <c r="AB12" s="9"/>
      <c r="AC12" s="9"/>
      <c r="AD12" s="9"/>
      <c r="AE12" s="11"/>
      <c r="AF12" s="10"/>
      <c r="AG12" s="227"/>
      <c r="AH12" s="228"/>
      <c r="AI12" s="9"/>
      <c r="AJ12" s="9"/>
      <c r="AK12" s="227" t="s">
        <v>5</v>
      </c>
      <c r="AL12" s="229"/>
      <c r="AM12" s="212">
        <f t="shared" si="1"/>
        <v>0</v>
      </c>
      <c r="AN12" s="213"/>
      <c r="AO12" s="212">
        <f t="shared" si="0"/>
        <v>23</v>
      </c>
      <c r="AP12" s="213"/>
      <c r="AQ12" s="214" t="s">
        <v>5</v>
      </c>
      <c r="AR12" s="215"/>
      <c r="AS12" s="215"/>
      <c r="AT12" s="215"/>
      <c r="AU12" s="216"/>
      <c r="AW12" s="8"/>
      <c r="AY12" s="7"/>
    </row>
    <row r="13" spans="1:51" ht="19.899999999999999" customHeight="1">
      <c r="A13" s="220">
        <v>6</v>
      </c>
      <c r="B13" s="221"/>
      <c r="C13" s="231" t="s">
        <v>102</v>
      </c>
      <c r="D13" s="232"/>
      <c r="E13" s="233"/>
      <c r="F13" s="230"/>
      <c r="G13" s="228"/>
      <c r="H13" s="9"/>
      <c r="I13" s="9"/>
      <c r="J13" s="9"/>
      <c r="K13" s="11"/>
      <c r="L13" s="230"/>
      <c r="M13" s="228"/>
      <c r="N13" s="9"/>
      <c r="O13" s="9"/>
      <c r="P13" s="9"/>
      <c r="Q13" s="11"/>
      <c r="R13" s="230"/>
      <c r="S13" s="228"/>
      <c r="T13" s="9"/>
      <c r="U13" s="9"/>
      <c r="V13" s="227"/>
      <c r="W13" s="228"/>
      <c r="X13" s="227"/>
      <c r="Y13" s="229"/>
      <c r="Z13" s="230"/>
      <c r="AA13" s="228"/>
      <c r="AB13" s="9"/>
      <c r="AC13" s="9"/>
      <c r="AD13" s="9"/>
      <c r="AE13" s="11"/>
      <c r="AF13" s="10"/>
      <c r="AG13" s="227"/>
      <c r="AH13" s="228"/>
      <c r="AI13" s="9"/>
      <c r="AJ13" s="9"/>
      <c r="AK13" s="227" t="s">
        <v>5</v>
      </c>
      <c r="AL13" s="229"/>
      <c r="AM13" s="212">
        <f t="shared" si="1"/>
        <v>0</v>
      </c>
      <c r="AN13" s="213"/>
      <c r="AO13" s="212">
        <f t="shared" si="0"/>
        <v>23</v>
      </c>
      <c r="AP13" s="213"/>
      <c r="AQ13" s="214" t="s">
        <v>5</v>
      </c>
      <c r="AR13" s="215"/>
      <c r="AS13" s="215"/>
      <c r="AT13" s="215"/>
      <c r="AU13" s="216"/>
      <c r="AW13" s="8"/>
      <c r="AY13" s="7"/>
    </row>
    <row r="14" spans="1:51" ht="19.899999999999999" customHeight="1">
      <c r="A14" s="220">
        <v>7</v>
      </c>
      <c r="B14" s="221"/>
      <c r="C14" s="231" t="s">
        <v>103</v>
      </c>
      <c r="D14" s="232"/>
      <c r="E14" s="233"/>
      <c r="F14" s="230"/>
      <c r="G14" s="228"/>
      <c r="H14" s="9"/>
      <c r="I14" s="9"/>
      <c r="J14" s="9"/>
      <c r="K14" s="11"/>
      <c r="L14" s="230"/>
      <c r="M14" s="228"/>
      <c r="N14" s="9"/>
      <c r="O14" s="9"/>
      <c r="P14" s="9"/>
      <c r="Q14" s="49" t="s">
        <v>126</v>
      </c>
      <c r="R14" s="230"/>
      <c r="S14" s="228"/>
      <c r="T14" s="9"/>
      <c r="U14" s="9"/>
      <c r="V14" s="227"/>
      <c r="W14" s="228"/>
      <c r="X14" s="227"/>
      <c r="Y14" s="229"/>
      <c r="Z14" s="230"/>
      <c r="AA14" s="228"/>
      <c r="AB14" s="49" t="s">
        <v>126</v>
      </c>
      <c r="AC14" s="9"/>
      <c r="AD14" s="9"/>
      <c r="AE14" s="11"/>
      <c r="AF14" s="10"/>
      <c r="AG14" s="227"/>
      <c r="AH14" s="228"/>
      <c r="AI14" s="9"/>
      <c r="AJ14" s="9"/>
      <c r="AK14" s="227" t="s">
        <v>5</v>
      </c>
      <c r="AL14" s="229"/>
      <c r="AM14" s="212">
        <v>2</v>
      </c>
      <c r="AN14" s="213"/>
      <c r="AO14" s="212">
        <f t="shared" si="0"/>
        <v>21</v>
      </c>
      <c r="AP14" s="213"/>
      <c r="AQ14" s="214" t="s">
        <v>5</v>
      </c>
      <c r="AR14" s="215"/>
      <c r="AS14" s="215"/>
      <c r="AT14" s="215"/>
      <c r="AU14" s="216"/>
      <c r="AW14" s="8"/>
      <c r="AY14" s="7"/>
    </row>
    <row r="15" spans="1:51" s="41" customFormat="1" ht="19.899999999999999" customHeight="1">
      <c r="A15" s="220">
        <v>8</v>
      </c>
      <c r="B15" s="221"/>
      <c r="C15" s="231" t="s">
        <v>131</v>
      </c>
      <c r="D15" s="232"/>
      <c r="E15" s="55"/>
      <c r="F15" s="42"/>
      <c r="G15" s="43"/>
      <c r="H15" s="9"/>
      <c r="I15" s="9"/>
      <c r="J15" s="9"/>
      <c r="K15" s="11"/>
      <c r="L15" s="42"/>
      <c r="M15" s="43"/>
      <c r="N15" s="9"/>
      <c r="O15" s="9"/>
      <c r="P15" s="9"/>
      <c r="Q15" s="52"/>
      <c r="R15" s="42"/>
      <c r="S15" s="43"/>
      <c r="T15" s="9"/>
      <c r="U15" s="9"/>
      <c r="V15" s="44"/>
      <c r="W15" s="43"/>
      <c r="X15" s="44"/>
      <c r="Y15" s="45"/>
      <c r="Z15" s="42"/>
      <c r="AA15" s="43"/>
      <c r="AB15" s="49"/>
      <c r="AC15" s="9"/>
      <c r="AD15" s="9"/>
      <c r="AE15" s="11"/>
      <c r="AF15" s="10"/>
      <c r="AG15" s="44"/>
      <c r="AH15" s="43"/>
      <c r="AI15" s="9"/>
      <c r="AJ15" s="9"/>
      <c r="AK15" s="44"/>
      <c r="AL15" s="45"/>
      <c r="AM15" s="212">
        <v>0</v>
      </c>
      <c r="AN15" s="213"/>
      <c r="AO15" s="212">
        <v>23</v>
      </c>
      <c r="AP15" s="213"/>
      <c r="AQ15" s="46"/>
      <c r="AR15" s="47"/>
      <c r="AS15" s="47"/>
      <c r="AT15" s="47"/>
      <c r="AU15" s="48"/>
      <c r="AW15" s="8"/>
      <c r="AY15" s="7"/>
    </row>
    <row r="16" spans="1:51" ht="19.899999999999999" customHeight="1">
      <c r="A16" s="220">
        <v>9</v>
      </c>
      <c r="B16" s="221"/>
      <c r="C16" s="231" t="s">
        <v>104</v>
      </c>
      <c r="D16" s="232"/>
      <c r="E16" s="233"/>
      <c r="F16" s="230"/>
      <c r="G16" s="228"/>
      <c r="H16" s="9"/>
      <c r="I16" s="9"/>
      <c r="J16" s="9"/>
      <c r="K16" s="11"/>
      <c r="L16" s="230"/>
      <c r="M16" s="228"/>
      <c r="N16" s="9"/>
      <c r="O16" s="9"/>
      <c r="P16" s="9"/>
      <c r="Q16" s="11"/>
      <c r="R16" s="230"/>
      <c r="S16" s="228"/>
      <c r="T16" s="49" t="s">
        <v>126</v>
      </c>
      <c r="U16" s="9"/>
      <c r="V16" s="227"/>
      <c r="W16" s="228"/>
      <c r="X16" s="227" t="s">
        <v>126</v>
      </c>
      <c r="Y16" s="229"/>
      <c r="Z16" s="230"/>
      <c r="AA16" s="228"/>
      <c r="AB16" s="9"/>
      <c r="AC16" s="9"/>
      <c r="AD16" s="9"/>
      <c r="AE16" s="11"/>
      <c r="AF16" s="10"/>
      <c r="AG16" s="227"/>
      <c r="AH16" s="228"/>
      <c r="AI16" s="9"/>
      <c r="AJ16" s="9"/>
      <c r="AK16" s="227" t="s">
        <v>5</v>
      </c>
      <c r="AL16" s="229"/>
      <c r="AM16" s="212">
        <v>2</v>
      </c>
      <c r="AN16" s="213"/>
      <c r="AO16" s="212">
        <f t="shared" si="0"/>
        <v>21</v>
      </c>
      <c r="AP16" s="213"/>
      <c r="AQ16" s="214" t="s">
        <v>5</v>
      </c>
      <c r="AR16" s="215"/>
      <c r="AS16" s="215"/>
      <c r="AT16" s="215"/>
      <c r="AU16" s="216"/>
      <c r="AW16" s="8"/>
      <c r="AY16" s="7"/>
    </row>
    <row r="17" spans="1:51" ht="19.899999999999999" customHeight="1">
      <c r="A17" s="220">
        <v>10</v>
      </c>
      <c r="B17" s="221"/>
      <c r="C17" s="231" t="s">
        <v>105</v>
      </c>
      <c r="D17" s="232"/>
      <c r="E17" s="233"/>
      <c r="F17" s="230"/>
      <c r="G17" s="228"/>
      <c r="H17" s="9"/>
      <c r="I17" s="9"/>
      <c r="J17" s="9"/>
      <c r="K17" s="11"/>
      <c r="L17" s="230"/>
      <c r="M17" s="228"/>
      <c r="N17" s="9"/>
      <c r="O17" s="9"/>
      <c r="P17" s="9"/>
      <c r="Q17" s="11"/>
      <c r="R17" s="230"/>
      <c r="S17" s="228"/>
      <c r="T17" s="9"/>
      <c r="U17" s="9"/>
      <c r="V17" s="227"/>
      <c r="W17" s="228"/>
      <c r="X17" s="227"/>
      <c r="Y17" s="229"/>
      <c r="Z17" s="230"/>
      <c r="AA17" s="228"/>
      <c r="AB17" s="9"/>
      <c r="AC17" s="9"/>
      <c r="AD17" s="9"/>
      <c r="AE17" s="11"/>
      <c r="AF17" s="10"/>
      <c r="AG17" s="227"/>
      <c r="AH17" s="228"/>
      <c r="AI17" s="9"/>
      <c r="AJ17" s="9"/>
      <c r="AK17" s="227" t="s">
        <v>5</v>
      </c>
      <c r="AL17" s="229"/>
      <c r="AM17" s="212">
        <f t="shared" si="1"/>
        <v>0</v>
      </c>
      <c r="AN17" s="213"/>
      <c r="AO17" s="212">
        <f t="shared" si="0"/>
        <v>23</v>
      </c>
      <c r="AP17" s="213"/>
      <c r="AQ17" s="214" t="s">
        <v>5</v>
      </c>
      <c r="AR17" s="215"/>
      <c r="AS17" s="215"/>
      <c r="AT17" s="215"/>
      <c r="AU17" s="216"/>
      <c r="AW17" s="8"/>
      <c r="AY17" s="7"/>
    </row>
    <row r="18" spans="1:51" ht="19.899999999999999" customHeight="1">
      <c r="A18" s="220">
        <v>11</v>
      </c>
      <c r="B18" s="221"/>
      <c r="C18" s="231" t="s">
        <v>106</v>
      </c>
      <c r="D18" s="232"/>
      <c r="E18" s="233"/>
      <c r="F18" s="230"/>
      <c r="G18" s="228"/>
      <c r="H18" s="9"/>
      <c r="I18" s="9"/>
      <c r="J18" s="9"/>
      <c r="K18" s="11"/>
      <c r="L18" s="230"/>
      <c r="M18" s="228"/>
      <c r="N18" s="9"/>
      <c r="O18" s="9"/>
      <c r="P18" s="9"/>
      <c r="Q18" s="11"/>
      <c r="R18" s="230"/>
      <c r="S18" s="228"/>
      <c r="T18" s="9"/>
      <c r="U18" s="9"/>
      <c r="V18" s="227"/>
      <c r="W18" s="228"/>
      <c r="X18" s="296" t="s">
        <v>126</v>
      </c>
      <c r="Y18" s="229"/>
      <c r="Z18" s="296" t="s">
        <v>126</v>
      </c>
      <c r="AA18" s="229"/>
      <c r="AB18" s="49" t="s">
        <v>126</v>
      </c>
      <c r="AC18" s="9"/>
      <c r="AD18" s="9"/>
      <c r="AE18" s="50" t="s">
        <v>126</v>
      </c>
      <c r="AF18" s="51" t="s">
        <v>126</v>
      </c>
      <c r="AG18" s="227"/>
      <c r="AH18" s="228"/>
      <c r="AI18" s="9"/>
      <c r="AJ18" s="9"/>
      <c r="AK18" s="227" t="s">
        <v>5</v>
      </c>
      <c r="AL18" s="229"/>
      <c r="AM18" s="212">
        <v>5</v>
      </c>
      <c r="AN18" s="213"/>
      <c r="AO18" s="212">
        <f t="shared" si="0"/>
        <v>18</v>
      </c>
      <c r="AP18" s="213"/>
      <c r="AQ18" s="214" t="s">
        <v>5</v>
      </c>
      <c r="AR18" s="215"/>
      <c r="AS18" s="215"/>
      <c r="AT18" s="215"/>
      <c r="AU18" s="216"/>
      <c r="AW18" s="8"/>
      <c r="AY18" s="7"/>
    </row>
    <row r="19" spans="1:51" ht="19.899999999999999" customHeight="1">
      <c r="A19" s="220">
        <v>12</v>
      </c>
      <c r="B19" s="221"/>
      <c r="C19" s="231" t="s">
        <v>107</v>
      </c>
      <c r="D19" s="232"/>
      <c r="E19" s="233"/>
      <c r="F19" s="230"/>
      <c r="G19" s="228"/>
      <c r="H19" s="9"/>
      <c r="I19" s="9" t="s">
        <v>5</v>
      </c>
      <c r="J19" s="9" t="s">
        <v>5</v>
      </c>
      <c r="K19" s="11" t="s">
        <v>5</v>
      </c>
      <c r="L19" s="230"/>
      <c r="M19" s="228"/>
      <c r="N19" s="9"/>
      <c r="O19" s="9"/>
      <c r="P19" s="9"/>
      <c r="Q19" s="11"/>
      <c r="R19" s="230"/>
      <c r="S19" s="228"/>
      <c r="T19" s="9"/>
      <c r="U19" s="9"/>
      <c r="V19" s="227"/>
      <c r="W19" s="228"/>
      <c r="X19" s="227"/>
      <c r="Y19" s="229"/>
      <c r="Z19" s="295" t="s">
        <v>126</v>
      </c>
      <c r="AA19" s="228"/>
      <c r="AB19" s="9"/>
      <c r="AC19" s="9"/>
      <c r="AD19" s="9"/>
      <c r="AE19" s="11"/>
      <c r="AF19" s="51" t="s">
        <v>126</v>
      </c>
      <c r="AG19" s="227"/>
      <c r="AH19" s="228"/>
      <c r="AI19" s="9"/>
      <c r="AJ19" s="9"/>
      <c r="AK19" s="227" t="s">
        <v>5</v>
      </c>
      <c r="AL19" s="229"/>
      <c r="AM19" s="212">
        <v>2</v>
      </c>
      <c r="AN19" s="213"/>
      <c r="AO19" s="212">
        <f t="shared" si="0"/>
        <v>21</v>
      </c>
      <c r="AP19" s="213"/>
      <c r="AQ19" s="214" t="s">
        <v>5</v>
      </c>
      <c r="AR19" s="215"/>
      <c r="AS19" s="215"/>
      <c r="AT19" s="215"/>
      <c r="AU19" s="216"/>
      <c r="AW19" s="8"/>
      <c r="AY19" s="7"/>
    </row>
    <row r="20" spans="1:51" ht="19.899999999999999" customHeight="1" thickBot="1">
      <c r="A20" s="220">
        <v>13</v>
      </c>
      <c r="B20" s="221"/>
      <c r="C20" s="231" t="s">
        <v>108</v>
      </c>
      <c r="D20" s="232"/>
      <c r="E20" s="233"/>
      <c r="F20" s="230"/>
      <c r="G20" s="228"/>
      <c r="H20" s="9"/>
      <c r="I20" s="9" t="s">
        <v>5</v>
      </c>
      <c r="J20" s="9" t="s">
        <v>5</v>
      </c>
      <c r="K20" s="11" t="s">
        <v>5</v>
      </c>
      <c r="L20" s="230"/>
      <c r="M20" s="228"/>
      <c r="N20" s="9"/>
      <c r="O20" s="9"/>
      <c r="P20" s="9"/>
      <c r="Q20" s="11"/>
      <c r="R20" s="230"/>
      <c r="S20" s="228"/>
      <c r="T20" s="9"/>
      <c r="U20" s="9"/>
      <c r="V20" s="227"/>
      <c r="W20" s="228"/>
      <c r="X20" s="227"/>
      <c r="Y20" s="229"/>
      <c r="Z20" s="230"/>
      <c r="AA20" s="228"/>
      <c r="AB20" s="9"/>
      <c r="AC20" s="9"/>
      <c r="AD20" s="9"/>
      <c r="AE20" s="11"/>
      <c r="AF20" s="10"/>
      <c r="AG20" s="227"/>
      <c r="AH20" s="228"/>
      <c r="AI20" s="9"/>
      <c r="AJ20" s="9"/>
      <c r="AK20" s="227" t="s">
        <v>5</v>
      </c>
      <c r="AL20" s="229"/>
      <c r="AM20" s="212">
        <f t="shared" si="1"/>
        <v>0</v>
      </c>
      <c r="AN20" s="213"/>
      <c r="AO20" s="212">
        <f t="shared" si="0"/>
        <v>23</v>
      </c>
      <c r="AP20" s="213"/>
      <c r="AQ20" s="214" t="s">
        <v>5</v>
      </c>
      <c r="AR20" s="215"/>
      <c r="AS20" s="215"/>
      <c r="AT20" s="215"/>
      <c r="AU20" s="216"/>
      <c r="AW20" s="8"/>
      <c r="AY20" s="7"/>
    </row>
    <row r="21" spans="1:51" ht="19.5" hidden="1" customHeight="1" thickBot="1">
      <c r="A21" s="220">
        <v>13</v>
      </c>
      <c r="B21" s="221"/>
      <c r="C21" s="297"/>
      <c r="D21" s="298"/>
      <c r="E21" s="299"/>
      <c r="F21" s="230"/>
      <c r="G21" s="228"/>
      <c r="H21" s="9"/>
      <c r="I21" s="9" t="s">
        <v>5</v>
      </c>
      <c r="J21" s="9" t="s">
        <v>5</v>
      </c>
      <c r="K21" s="11" t="s">
        <v>5</v>
      </c>
      <c r="L21" s="230"/>
      <c r="M21" s="228"/>
      <c r="N21" s="9"/>
      <c r="O21" s="9"/>
      <c r="P21" s="9"/>
      <c r="Q21" s="11"/>
      <c r="R21" s="230"/>
      <c r="S21" s="228"/>
      <c r="T21" s="9"/>
      <c r="U21" s="9"/>
      <c r="V21" s="227"/>
      <c r="W21" s="228"/>
      <c r="X21" s="227"/>
      <c r="Y21" s="229"/>
      <c r="Z21" s="230"/>
      <c r="AA21" s="228"/>
      <c r="AB21" s="9"/>
      <c r="AC21" s="9"/>
      <c r="AD21" s="9"/>
      <c r="AE21" s="11"/>
      <c r="AF21" s="10"/>
      <c r="AG21" s="227"/>
      <c r="AH21" s="228"/>
      <c r="AI21" s="9"/>
      <c r="AJ21" s="9"/>
      <c r="AK21" s="227" t="s">
        <v>5</v>
      </c>
      <c r="AL21" s="229"/>
      <c r="AM21" s="212">
        <f t="shared" si="1"/>
        <v>0</v>
      </c>
      <c r="AN21" s="213"/>
      <c r="AO21" s="212">
        <f t="shared" si="0"/>
        <v>23</v>
      </c>
      <c r="AP21" s="213"/>
      <c r="AQ21" s="214" t="s">
        <v>5</v>
      </c>
      <c r="AR21" s="215"/>
      <c r="AS21" s="215"/>
      <c r="AT21" s="215"/>
      <c r="AU21" s="216"/>
      <c r="AW21" s="8"/>
      <c r="AY21" s="7"/>
    </row>
    <row r="22" spans="1:51" ht="19.5" hidden="1" customHeight="1" thickBot="1">
      <c r="A22" s="220">
        <v>14</v>
      </c>
      <c r="B22" s="221"/>
      <c r="C22" s="246"/>
      <c r="D22" s="247"/>
      <c r="E22" s="248"/>
      <c r="F22" s="230"/>
      <c r="G22" s="228"/>
      <c r="H22" s="9"/>
      <c r="I22" s="9" t="s">
        <v>5</v>
      </c>
      <c r="J22" s="9" t="s">
        <v>5</v>
      </c>
      <c r="K22" s="11" t="s">
        <v>5</v>
      </c>
      <c r="L22" s="230"/>
      <c r="M22" s="228"/>
      <c r="N22" s="9"/>
      <c r="O22" s="9"/>
      <c r="P22" s="9"/>
      <c r="Q22" s="11"/>
      <c r="R22" s="230"/>
      <c r="S22" s="228"/>
      <c r="T22" s="9"/>
      <c r="U22" s="9"/>
      <c r="V22" s="227"/>
      <c r="W22" s="228"/>
      <c r="X22" s="227"/>
      <c r="Y22" s="229"/>
      <c r="Z22" s="230"/>
      <c r="AA22" s="228"/>
      <c r="AB22" s="9"/>
      <c r="AC22" s="9"/>
      <c r="AD22" s="9"/>
      <c r="AE22" s="11"/>
      <c r="AF22" s="10"/>
      <c r="AG22" s="227"/>
      <c r="AH22" s="228"/>
      <c r="AI22" s="9"/>
      <c r="AJ22" s="9"/>
      <c r="AK22" s="227" t="s">
        <v>5</v>
      </c>
      <c r="AL22" s="229"/>
      <c r="AM22" s="212">
        <f t="shared" si="1"/>
        <v>0</v>
      </c>
      <c r="AN22" s="213"/>
      <c r="AO22" s="212">
        <f t="shared" si="0"/>
        <v>23</v>
      </c>
      <c r="AP22" s="213"/>
      <c r="AQ22" s="214" t="s">
        <v>5</v>
      </c>
      <c r="AR22" s="215"/>
      <c r="AS22" s="215"/>
      <c r="AT22" s="215"/>
      <c r="AU22" s="216"/>
      <c r="AW22" s="8"/>
      <c r="AY22" s="7"/>
    </row>
    <row r="23" spans="1:51" ht="19.5" hidden="1" customHeight="1" thickBot="1">
      <c r="A23" s="220">
        <v>15</v>
      </c>
      <c r="B23" s="221"/>
      <c r="C23" s="246"/>
      <c r="D23" s="247"/>
      <c r="E23" s="248"/>
      <c r="F23" s="230"/>
      <c r="G23" s="228"/>
      <c r="H23" s="9"/>
      <c r="I23" s="9" t="s">
        <v>5</v>
      </c>
      <c r="J23" s="9" t="s">
        <v>5</v>
      </c>
      <c r="K23" s="11" t="s">
        <v>5</v>
      </c>
      <c r="L23" s="230"/>
      <c r="M23" s="228"/>
      <c r="N23" s="9"/>
      <c r="O23" s="9"/>
      <c r="P23" s="9"/>
      <c r="Q23" s="11"/>
      <c r="R23" s="230"/>
      <c r="S23" s="228"/>
      <c r="T23" s="9"/>
      <c r="U23" s="9"/>
      <c r="V23" s="227"/>
      <c r="W23" s="228"/>
      <c r="X23" s="227"/>
      <c r="Y23" s="229"/>
      <c r="Z23" s="230"/>
      <c r="AA23" s="228"/>
      <c r="AB23" s="9"/>
      <c r="AC23" s="9"/>
      <c r="AD23" s="9"/>
      <c r="AE23" s="11"/>
      <c r="AF23" s="10"/>
      <c r="AG23" s="227"/>
      <c r="AH23" s="228"/>
      <c r="AI23" s="9"/>
      <c r="AJ23" s="9"/>
      <c r="AK23" s="227" t="s">
        <v>5</v>
      </c>
      <c r="AL23" s="229"/>
      <c r="AM23" s="212">
        <f t="shared" si="1"/>
        <v>0</v>
      </c>
      <c r="AN23" s="213"/>
      <c r="AO23" s="212">
        <f t="shared" si="0"/>
        <v>23</v>
      </c>
      <c r="AP23" s="213"/>
      <c r="AQ23" s="214" t="s">
        <v>5</v>
      </c>
      <c r="AR23" s="215"/>
      <c r="AS23" s="215"/>
      <c r="AT23" s="215"/>
      <c r="AU23" s="216"/>
      <c r="AW23" s="8"/>
      <c r="AY23" s="7"/>
    </row>
    <row r="24" spans="1:51" ht="19.5" hidden="1" customHeight="1" thickBot="1">
      <c r="A24" s="220">
        <v>16</v>
      </c>
      <c r="B24" s="221"/>
      <c r="C24" s="246"/>
      <c r="D24" s="247"/>
      <c r="E24" s="248"/>
      <c r="F24" s="230"/>
      <c r="G24" s="228"/>
      <c r="H24" s="9"/>
      <c r="I24" s="9" t="s">
        <v>5</v>
      </c>
      <c r="J24" s="9" t="s">
        <v>5</v>
      </c>
      <c r="K24" s="11" t="s">
        <v>5</v>
      </c>
      <c r="L24" s="230"/>
      <c r="M24" s="228"/>
      <c r="N24" s="9"/>
      <c r="O24" s="9"/>
      <c r="P24" s="9"/>
      <c r="Q24" s="11"/>
      <c r="R24" s="230"/>
      <c r="S24" s="228"/>
      <c r="T24" s="9"/>
      <c r="U24" s="9"/>
      <c r="V24" s="227"/>
      <c r="W24" s="228"/>
      <c r="X24" s="227"/>
      <c r="Y24" s="229"/>
      <c r="Z24" s="230"/>
      <c r="AA24" s="228"/>
      <c r="AB24" s="9"/>
      <c r="AC24" s="9"/>
      <c r="AD24" s="9"/>
      <c r="AE24" s="11"/>
      <c r="AF24" s="10"/>
      <c r="AG24" s="227"/>
      <c r="AH24" s="228"/>
      <c r="AI24" s="9"/>
      <c r="AJ24" s="9"/>
      <c r="AK24" s="227" t="s">
        <v>5</v>
      </c>
      <c r="AL24" s="229"/>
      <c r="AM24" s="212">
        <f t="shared" si="1"/>
        <v>0</v>
      </c>
      <c r="AN24" s="213"/>
      <c r="AO24" s="212">
        <f t="shared" si="0"/>
        <v>23</v>
      </c>
      <c r="AP24" s="213"/>
      <c r="AQ24" s="214" t="s">
        <v>5</v>
      </c>
      <c r="AR24" s="215"/>
      <c r="AS24" s="215"/>
      <c r="AT24" s="215"/>
      <c r="AU24" s="216"/>
      <c r="AW24" s="8"/>
      <c r="AY24" s="7"/>
    </row>
    <row r="25" spans="1:51" ht="19.5" hidden="1" customHeight="1" thickBot="1">
      <c r="A25" s="220">
        <v>17</v>
      </c>
      <c r="B25" s="221"/>
      <c r="C25" s="246"/>
      <c r="D25" s="247"/>
      <c r="E25" s="248"/>
      <c r="F25" s="230"/>
      <c r="G25" s="228"/>
      <c r="H25" s="9"/>
      <c r="I25" s="9" t="s">
        <v>5</v>
      </c>
      <c r="J25" s="9" t="s">
        <v>5</v>
      </c>
      <c r="K25" s="11" t="s">
        <v>5</v>
      </c>
      <c r="L25" s="230"/>
      <c r="M25" s="228"/>
      <c r="N25" s="9"/>
      <c r="O25" s="9"/>
      <c r="P25" s="9"/>
      <c r="Q25" s="11"/>
      <c r="R25" s="230"/>
      <c r="S25" s="228"/>
      <c r="T25" s="9"/>
      <c r="U25" s="9"/>
      <c r="V25" s="227"/>
      <c r="W25" s="228"/>
      <c r="X25" s="227"/>
      <c r="Y25" s="229"/>
      <c r="Z25" s="230"/>
      <c r="AA25" s="228"/>
      <c r="AB25" s="9"/>
      <c r="AC25" s="9"/>
      <c r="AD25" s="9"/>
      <c r="AE25" s="11"/>
      <c r="AF25" s="10"/>
      <c r="AG25" s="227"/>
      <c r="AH25" s="228"/>
      <c r="AI25" s="9"/>
      <c r="AJ25" s="9"/>
      <c r="AK25" s="227" t="s">
        <v>5</v>
      </c>
      <c r="AL25" s="229"/>
      <c r="AM25" s="212">
        <f t="shared" si="1"/>
        <v>0</v>
      </c>
      <c r="AN25" s="213"/>
      <c r="AO25" s="212">
        <f t="shared" si="0"/>
        <v>23</v>
      </c>
      <c r="AP25" s="213"/>
      <c r="AQ25" s="214" t="s">
        <v>5</v>
      </c>
      <c r="AR25" s="215"/>
      <c r="AS25" s="215"/>
      <c r="AT25" s="215"/>
      <c r="AU25" s="216"/>
      <c r="AW25" s="8"/>
      <c r="AY25" s="7"/>
    </row>
    <row r="26" spans="1:51" ht="19.5" hidden="1" customHeight="1" thickBot="1">
      <c r="A26" s="220">
        <v>18</v>
      </c>
      <c r="B26" s="221"/>
      <c r="C26" s="246"/>
      <c r="D26" s="247"/>
      <c r="E26" s="248"/>
      <c r="F26" s="230"/>
      <c r="G26" s="228"/>
      <c r="H26" s="9"/>
      <c r="I26" s="9" t="s">
        <v>5</v>
      </c>
      <c r="J26" s="9" t="s">
        <v>5</v>
      </c>
      <c r="K26" s="11" t="s">
        <v>5</v>
      </c>
      <c r="L26" s="230"/>
      <c r="M26" s="228"/>
      <c r="N26" s="9"/>
      <c r="O26" s="9"/>
      <c r="P26" s="9"/>
      <c r="Q26" s="11"/>
      <c r="R26" s="230"/>
      <c r="S26" s="228"/>
      <c r="T26" s="9"/>
      <c r="U26" s="9"/>
      <c r="V26" s="227"/>
      <c r="W26" s="228"/>
      <c r="X26" s="227"/>
      <c r="Y26" s="229"/>
      <c r="Z26" s="230"/>
      <c r="AA26" s="228"/>
      <c r="AB26" s="9"/>
      <c r="AC26" s="9"/>
      <c r="AD26" s="9"/>
      <c r="AE26" s="11"/>
      <c r="AF26" s="10"/>
      <c r="AG26" s="227"/>
      <c r="AH26" s="228"/>
      <c r="AI26" s="9"/>
      <c r="AJ26" s="9"/>
      <c r="AK26" s="227" t="s">
        <v>5</v>
      </c>
      <c r="AL26" s="229"/>
      <c r="AM26" s="212">
        <f t="shared" si="1"/>
        <v>0</v>
      </c>
      <c r="AN26" s="213"/>
      <c r="AO26" s="212">
        <f t="shared" si="0"/>
        <v>23</v>
      </c>
      <c r="AP26" s="213"/>
      <c r="AQ26" s="214" t="s">
        <v>5</v>
      </c>
      <c r="AR26" s="215"/>
      <c r="AS26" s="215"/>
      <c r="AT26" s="215"/>
      <c r="AU26" s="216"/>
      <c r="AW26" s="8"/>
      <c r="AY26" s="7"/>
    </row>
    <row r="27" spans="1:51" ht="19.5" hidden="1" customHeight="1" thickBot="1">
      <c r="A27" s="220">
        <v>19</v>
      </c>
      <c r="B27" s="221"/>
      <c r="C27" s="249"/>
      <c r="D27" s="250"/>
      <c r="E27" s="54"/>
      <c r="F27" s="58"/>
      <c r="G27" s="59"/>
      <c r="H27" s="9"/>
      <c r="I27" s="9"/>
      <c r="J27" s="9"/>
      <c r="K27" s="11"/>
      <c r="L27" s="58"/>
      <c r="M27" s="59"/>
      <c r="N27" s="9"/>
      <c r="O27" s="9"/>
      <c r="P27" s="9"/>
      <c r="Q27" s="11"/>
      <c r="R27" s="58"/>
      <c r="S27" s="59"/>
      <c r="T27" s="9"/>
      <c r="U27" s="9"/>
      <c r="V27" s="56"/>
      <c r="W27" s="59"/>
      <c r="X27" s="56"/>
      <c r="Y27" s="57"/>
      <c r="Z27" s="58"/>
      <c r="AA27" s="59"/>
      <c r="AB27" s="9"/>
      <c r="AC27" s="9"/>
      <c r="AD27" s="9"/>
      <c r="AE27" s="11"/>
      <c r="AF27" s="10"/>
      <c r="AG27" s="56"/>
      <c r="AH27" s="59"/>
      <c r="AI27" s="9"/>
      <c r="AJ27" s="9"/>
      <c r="AK27" s="56"/>
      <c r="AL27" s="57"/>
      <c r="AM27" s="212">
        <f t="shared" si="1"/>
        <v>0</v>
      </c>
      <c r="AN27" s="213"/>
      <c r="AO27" s="212">
        <f t="shared" si="0"/>
        <v>23</v>
      </c>
      <c r="AP27" s="213"/>
      <c r="AQ27" s="245"/>
      <c r="AR27" s="215"/>
      <c r="AS27" s="215"/>
      <c r="AT27" s="215"/>
      <c r="AU27" s="37"/>
      <c r="AW27" s="8"/>
      <c r="AY27" s="7"/>
    </row>
    <row r="28" spans="1:51" ht="19.5" hidden="1" customHeight="1" thickBot="1">
      <c r="A28" s="220">
        <v>20</v>
      </c>
      <c r="B28" s="221"/>
      <c r="C28" s="246"/>
      <c r="D28" s="247"/>
      <c r="E28" s="248"/>
      <c r="F28" s="230"/>
      <c r="G28" s="228"/>
      <c r="H28" s="9"/>
      <c r="I28" s="9" t="s">
        <v>5</v>
      </c>
      <c r="J28" s="9" t="s">
        <v>5</v>
      </c>
      <c r="K28" s="11" t="s">
        <v>5</v>
      </c>
      <c r="L28" s="230"/>
      <c r="M28" s="228"/>
      <c r="N28" s="9"/>
      <c r="O28" s="9"/>
      <c r="P28" s="9"/>
      <c r="Q28" s="11"/>
      <c r="R28" s="230"/>
      <c r="S28" s="228"/>
      <c r="T28" s="9"/>
      <c r="U28" s="9"/>
      <c r="V28" s="227"/>
      <c r="W28" s="228"/>
      <c r="X28" s="227"/>
      <c r="Y28" s="229"/>
      <c r="Z28" s="230"/>
      <c r="AA28" s="228"/>
      <c r="AB28" s="9"/>
      <c r="AC28" s="9"/>
      <c r="AD28" s="9"/>
      <c r="AE28" s="11"/>
      <c r="AF28" s="10"/>
      <c r="AG28" s="227"/>
      <c r="AH28" s="228"/>
      <c r="AI28" s="9"/>
      <c r="AJ28" s="9"/>
      <c r="AK28" s="227" t="s">
        <v>5</v>
      </c>
      <c r="AL28" s="229"/>
      <c r="AM28" s="212">
        <f t="shared" si="1"/>
        <v>0</v>
      </c>
      <c r="AN28" s="213"/>
      <c r="AO28" s="212">
        <f t="shared" si="0"/>
        <v>23</v>
      </c>
      <c r="AP28" s="213"/>
      <c r="AQ28" s="245" t="s">
        <v>5</v>
      </c>
      <c r="AR28" s="215"/>
      <c r="AS28" s="215"/>
      <c r="AT28" s="215"/>
      <c r="AU28" s="216"/>
      <c r="AW28" s="8"/>
      <c r="AY28" s="7"/>
    </row>
    <row r="29" spans="1:51" ht="19.899999999999999" customHeight="1" thickBot="1">
      <c r="A29" s="220"/>
      <c r="B29" s="221"/>
      <c r="C29" s="246"/>
      <c r="D29" s="247"/>
      <c r="E29" s="248"/>
      <c r="F29" s="226"/>
      <c r="G29" s="210"/>
      <c r="H29" s="16"/>
      <c r="I29" s="16" t="s">
        <v>5</v>
      </c>
      <c r="J29" s="16" t="s">
        <v>5</v>
      </c>
      <c r="K29" s="17" t="s">
        <v>5</v>
      </c>
      <c r="L29" s="226"/>
      <c r="M29" s="210"/>
      <c r="N29" s="16"/>
      <c r="O29" s="16"/>
      <c r="P29" s="16"/>
      <c r="Q29" s="17"/>
      <c r="R29" s="226"/>
      <c r="S29" s="210"/>
      <c r="T29" s="16"/>
      <c r="U29" s="16"/>
      <c r="V29" s="209"/>
      <c r="W29" s="210"/>
      <c r="X29" s="209"/>
      <c r="Y29" s="211"/>
      <c r="Z29" s="226"/>
      <c r="AA29" s="210"/>
      <c r="AB29" s="16"/>
      <c r="AC29" s="16"/>
      <c r="AD29" s="16"/>
      <c r="AE29" s="17"/>
      <c r="AF29" s="15"/>
      <c r="AG29" s="209"/>
      <c r="AH29" s="210"/>
      <c r="AI29" s="16"/>
      <c r="AJ29" s="16"/>
      <c r="AK29" s="209" t="s">
        <v>5</v>
      </c>
      <c r="AL29" s="211"/>
      <c r="AM29" s="212"/>
      <c r="AN29" s="213"/>
      <c r="AO29" s="212"/>
      <c r="AP29" s="213"/>
      <c r="AQ29" s="214" t="s">
        <v>5</v>
      </c>
      <c r="AR29" s="215"/>
      <c r="AS29" s="215"/>
      <c r="AT29" s="215"/>
      <c r="AU29" s="216"/>
      <c r="AW29" s="217" t="s">
        <v>74</v>
      </c>
      <c r="AX29" s="218"/>
      <c r="AY29" s="219"/>
    </row>
    <row r="30" spans="1:51" ht="19.899999999999999" customHeight="1" thickTop="1" thickBot="1">
      <c r="A30" s="187">
        <v>13</v>
      </c>
      <c r="B30" s="188"/>
      <c r="C30" s="205" t="s">
        <v>21</v>
      </c>
      <c r="D30" s="206"/>
      <c r="E30" s="206"/>
      <c r="F30" s="243"/>
      <c r="G30" s="241"/>
      <c r="H30" s="28">
        <v>13</v>
      </c>
      <c r="I30" s="28">
        <v>13</v>
      </c>
      <c r="J30" s="28">
        <v>13</v>
      </c>
      <c r="K30" s="28">
        <v>13</v>
      </c>
      <c r="L30" s="28">
        <v>13</v>
      </c>
      <c r="M30" s="28">
        <v>12</v>
      </c>
      <c r="N30" s="28">
        <v>13</v>
      </c>
      <c r="O30" s="28">
        <v>13</v>
      </c>
      <c r="P30" s="28">
        <v>12</v>
      </c>
      <c r="Q30" s="33">
        <v>11</v>
      </c>
      <c r="R30" s="244">
        <v>12</v>
      </c>
      <c r="S30" s="238"/>
      <c r="T30" s="26">
        <v>12</v>
      </c>
      <c r="U30" s="26">
        <v>13</v>
      </c>
      <c r="V30" s="238">
        <v>13</v>
      </c>
      <c r="W30" s="238"/>
      <c r="X30" s="238">
        <v>11</v>
      </c>
      <c r="Y30" s="239"/>
      <c r="Z30" s="240">
        <v>11</v>
      </c>
      <c r="AA30" s="241"/>
      <c r="AB30" s="28">
        <v>11</v>
      </c>
      <c r="AC30" s="28">
        <v>12</v>
      </c>
      <c r="AD30" s="28">
        <v>13</v>
      </c>
      <c r="AE30" s="32">
        <v>11</v>
      </c>
      <c r="AF30" s="34">
        <v>10</v>
      </c>
      <c r="AG30" s="242">
        <v>13</v>
      </c>
      <c r="AH30" s="241"/>
      <c r="AI30" s="28">
        <v>13</v>
      </c>
      <c r="AJ30" s="28">
        <v>13</v>
      </c>
      <c r="AK30" s="238"/>
      <c r="AL30" s="239"/>
      <c r="AM30" s="170">
        <f>SUM(AM8:AN29)</f>
        <v>17</v>
      </c>
      <c r="AN30" s="171"/>
      <c r="AO30" s="172">
        <v>282</v>
      </c>
      <c r="AP30" s="171"/>
      <c r="AQ30" s="173" t="s">
        <v>5</v>
      </c>
      <c r="AR30" s="174"/>
      <c r="AS30" s="174"/>
      <c r="AT30" s="174"/>
      <c r="AU30" s="175"/>
      <c r="AW30" s="12">
        <f>AW5</f>
        <v>23</v>
      </c>
      <c r="AX30" s="39">
        <v>13</v>
      </c>
      <c r="AY30" s="7">
        <f>AW30*AX30</f>
        <v>299</v>
      </c>
    </row>
    <row r="31" spans="1:51" ht="19.899999999999999" customHeight="1">
      <c r="A31" s="220">
        <v>1</v>
      </c>
      <c r="B31" s="221"/>
      <c r="C31" s="231" t="s">
        <v>109</v>
      </c>
      <c r="D31" s="232"/>
      <c r="E31" s="233"/>
      <c r="F31" s="230"/>
      <c r="G31" s="228"/>
      <c r="H31" s="29"/>
      <c r="I31" s="9"/>
      <c r="J31" s="9"/>
      <c r="K31" s="30"/>
      <c r="L31" s="237"/>
      <c r="M31" s="235"/>
      <c r="N31" s="9"/>
      <c r="O31" s="29"/>
      <c r="P31" s="29"/>
      <c r="Q31" s="30"/>
      <c r="R31" s="237"/>
      <c r="S31" s="235"/>
      <c r="T31" s="29"/>
      <c r="U31" s="29"/>
      <c r="V31" s="234"/>
      <c r="W31" s="235"/>
      <c r="X31" s="234"/>
      <c r="Y31" s="236"/>
      <c r="Z31" s="237"/>
      <c r="AA31" s="235"/>
      <c r="AB31" s="29"/>
      <c r="AC31" s="29"/>
      <c r="AD31" s="29"/>
      <c r="AE31" s="30"/>
      <c r="AF31" s="31"/>
      <c r="AG31" s="234"/>
      <c r="AH31" s="235"/>
      <c r="AI31" s="29"/>
      <c r="AJ31" s="9"/>
      <c r="AK31" s="234"/>
      <c r="AL31" s="236"/>
      <c r="AM31" s="212">
        <f t="shared" ref="AM31:AM49" si="2">COUNTIF(F31:AL31,"X")</f>
        <v>0</v>
      </c>
      <c r="AN31" s="213"/>
      <c r="AO31" s="212">
        <f t="shared" ref="AO31:AO49" si="3">$AW$5-AM31</f>
        <v>23</v>
      </c>
      <c r="AP31" s="213"/>
      <c r="AQ31" s="214" t="s">
        <v>5</v>
      </c>
      <c r="AR31" s="215"/>
      <c r="AS31" s="215"/>
      <c r="AT31" s="215"/>
      <c r="AU31" s="216"/>
      <c r="AW31" s="8"/>
      <c r="AY31" s="7"/>
    </row>
    <row r="32" spans="1:51" ht="19.899999999999999" customHeight="1">
      <c r="A32" s="220">
        <v>2</v>
      </c>
      <c r="B32" s="221"/>
      <c r="C32" s="231" t="s">
        <v>110</v>
      </c>
      <c r="D32" s="232"/>
      <c r="E32" s="233"/>
      <c r="F32" s="230"/>
      <c r="G32" s="228"/>
      <c r="H32" s="9"/>
      <c r="I32" s="9"/>
      <c r="J32" s="9"/>
      <c r="K32" s="11"/>
      <c r="L32" s="230"/>
      <c r="M32" s="228"/>
      <c r="N32" s="9"/>
      <c r="O32" s="9"/>
      <c r="P32" s="9"/>
      <c r="Q32" s="11"/>
      <c r="R32" s="230"/>
      <c r="S32" s="228"/>
      <c r="T32" s="9"/>
      <c r="U32" s="9"/>
      <c r="V32" s="227"/>
      <c r="W32" s="228"/>
      <c r="X32" s="296" t="s">
        <v>126</v>
      </c>
      <c r="Y32" s="229"/>
      <c r="Z32" s="230"/>
      <c r="AA32" s="228"/>
      <c r="AB32" s="9"/>
      <c r="AC32" s="9"/>
      <c r="AD32" s="9"/>
      <c r="AE32" s="11"/>
      <c r="AF32" s="10"/>
      <c r="AG32" s="227"/>
      <c r="AH32" s="228"/>
      <c r="AI32" s="9"/>
      <c r="AJ32" s="9"/>
      <c r="AK32" s="227"/>
      <c r="AL32" s="229"/>
      <c r="AM32" s="212">
        <v>1</v>
      </c>
      <c r="AN32" s="213"/>
      <c r="AO32" s="212">
        <f t="shared" si="3"/>
        <v>22</v>
      </c>
      <c r="AP32" s="213"/>
      <c r="AQ32" s="214" t="s">
        <v>5</v>
      </c>
      <c r="AR32" s="215"/>
      <c r="AS32" s="215"/>
      <c r="AT32" s="215"/>
      <c r="AU32" s="216"/>
      <c r="AW32" s="8"/>
      <c r="AY32" s="7"/>
    </row>
    <row r="33" spans="1:51" ht="19.899999999999999" customHeight="1">
      <c r="A33" s="220">
        <v>3</v>
      </c>
      <c r="B33" s="221"/>
      <c r="C33" s="231" t="s">
        <v>111</v>
      </c>
      <c r="D33" s="232"/>
      <c r="E33" s="233"/>
      <c r="F33" s="230"/>
      <c r="G33" s="228"/>
      <c r="H33" s="9"/>
      <c r="I33" s="9"/>
      <c r="J33" s="9"/>
      <c r="K33" s="11"/>
      <c r="L33" s="230"/>
      <c r="M33" s="228"/>
      <c r="N33" s="9"/>
      <c r="O33" s="9"/>
      <c r="P33" s="9"/>
      <c r="Q33" s="11"/>
      <c r="R33" s="230"/>
      <c r="S33" s="228"/>
      <c r="T33" s="9"/>
      <c r="U33" s="49" t="s">
        <v>126</v>
      </c>
      <c r="V33" s="227"/>
      <c r="W33" s="228"/>
      <c r="X33" s="296" t="s">
        <v>126</v>
      </c>
      <c r="Y33" s="229"/>
      <c r="Z33" s="230"/>
      <c r="AA33" s="228"/>
      <c r="AB33" s="9"/>
      <c r="AC33" s="9"/>
      <c r="AD33" s="49" t="s">
        <v>126</v>
      </c>
      <c r="AE33" s="11"/>
      <c r="AF33" s="10"/>
      <c r="AG33" s="227"/>
      <c r="AH33" s="228"/>
      <c r="AI33" s="9"/>
      <c r="AJ33" s="9"/>
      <c r="AK33" s="227"/>
      <c r="AL33" s="229"/>
      <c r="AM33" s="212">
        <v>3</v>
      </c>
      <c r="AN33" s="213"/>
      <c r="AO33" s="212">
        <f t="shared" si="3"/>
        <v>20</v>
      </c>
      <c r="AP33" s="213"/>
      <c r="AQ33" s="214" t="s">
        <v>5</v>
      </c>
      <c r="AR33" s="215"/>
      <c r="AS33" s="215"/>
      <c r="AT33" s="215"/>
      <c r="AU33" s="216"/>
      <c r="AW33" s="8"/>
      <c r="AY33" s="7"/>
    </row>
    <row r="34" spans="1:51" ht="19.899999999999999" customHeight="1">
      <c r="A34" s="220">
        <v>4</v>
      </c>
      <c r="B34" s="221"/>
      <c r="C34" s="231" t="s">
        <v>112</v>
      </c>
      <c r="D34" s="232"/>
      <c r="E34" s="233"/>
      <c r="F34" s="230"/>
      <c r="G34" s="228"/>
      <c r="H34" s="9"/>
      <c r="I34" s="9"/>
      <c r="J34" s="9"/>
      <c r="K34" s="11"/>
      <c r="L34" s="230"/>
      <c r="M34" s="228"/>
      <c r="N34" s="9"/>
      <c r="O34" s="9"/>
      <c r="P34" s="9"/>
      <c r="Q34" s="11"/>
      <c r="R34" s="230"/>
      <c r="S34" s="228"/>
      <c r="T34" s="9"/>
      <c r="U34" s="9"/>
      <c r="V34" s="227"/>
      <c r="W34" s="228"/>
      <c r="X34" s="227"/>
      <c r="Y34" s="229"/>
      <c r="Z34" s="230"/>
      <c r="AA34" s="228"/>
      <c r="AB34" s="9"/>
      <c r="AC34" s="9"/>
      <c r="AD34" s="9"/>
      <c r="AE34" s="11"/>
      <c r="AF34" s="10"/>
      <c r="AG34" s="227"/>
      <c r="AH34" s="228"/>
      <c r="AI34" s="9"/>
      <c r="AJ34" s="9"/>
      <c r="AK34" s="227"/>
      <c r="AL34" s="229"/>
      <c r="AM34" s="212">
        <f t="shared" si="2"/>
        <v>0</v>
      </c>
      <c r="AN34" s="213"/>
      <c r="AO34" s="212">
        <f t="shared" si="3"/>
        <v>23</v>
      </c>
      <c r="AP34" s="213"/>
      <c r="AQ34" s="214" t="s">
        <v>5</v>
      </c>
      <c r="AR34" s="215"/>
      <c r="AS34" s="215"/>
      <c r="AT34" s="215"/>
      <c r="AU34" s="216"/>
      <c r="AW34" s="8"/>
      <c r="AY34" s="7"/>
    </row>
    <row r="35" spans="1:51" ht="19.899999999999999" customHeight="1">
      <c r="A35" s="220">
        <v>5</v>
      </c>
      <c r="B35" s="221"/>
      <c r="C35" s="231" t="s">
        <v>113</v>
      </c>
      <c r="D35" s="232"/>
      <c r="E35" s="233"/>
      <c r="F35" s="230"/>
      <c r="G35" s="228"/>
      <c r="H35" s="9"/>
      <c r="I35" s="9"/>
      <c r="J35" s="9"/>
      <c r="K35" s="11"/>
      <c r="L35" s="230"/>
      <c r="M35" s="228"/>
      <c r="N35" s="9"/>
      <c r="O35" s="9"/>
      <c r="P35" s="9"/>
      <c r="Q35" s="11"/>
      <c r="R35" s="230"/>
      <c r="S35" s="228"/>
      <c r="T35" s="9"/>
      <c r="U35" s="9"/>
      <c r="V35" s="227"/>
      <c r="W35" s="228"/>
      <c r="X35" s="227"/>
      <c r="Y35" s="229"/>
      <c r="Z35" s="230"/>
      <c r="AA35" s="228"/>
      <c r="AB35" s="9"/>
      <c r="AC35" s="9"/>
      <c r="AD35" s="9"/>
      <c r="AE35" s="11"/>
      <c r="AF35" s="10"/>
      <c r="AG35" s="227"/>
      <c r="AH35" s="228"/>
      <c r="AI35" s="9"/>
      <c r="AJ35" s="9"/>
      <c r="AK35" s="227"/>
      <c r="AL35" s="229"/>
      <c r="AM35" s="212">
        <f t="shared" si="2"/>
        <v>0</v>
      </c>
      <c r="AN35" s="213"/>
      <c r="AO35" s="212">
        <f t="shared" si="3"/>
        <v>23</v>
      </c>
      <c r="AP35" s="213"/>
      <c r="AQ35" s="214" t="s">
        <v>5</v>
      </c>
      <c r="AR35" s="215"/>
      <c r="AS35" s="215"/>
      <c r="AT35" s="215"/>
      <c r="AU35" s="216"/>
      <c r="AW35" s="8"/>
      <c r="AY35" s="7"/>
    </row>
    <row r="36" spans="1:51" ht="19.899999999999999" customHeight="1">
      <c r="A36" s="220">
        <v>6</v>
      </c>
      <c r="B36" s="221"/>
      <c r="C36" s="231" t="s">
        <v>114</v>
      </c>
      <c r="D36" s="232"/>
      <c r="E36" s="233"/>
      <c r="F36" s="230"/>
      <c r="G36" s="228"/>
      <c r="H36" s="9"/>
      <c r="I36" s="9"/>
      <c r="J36" s="9"/>
      <c r="K36" s="11"/>
      <c r="L36" s="230"/>
      <c r="M36" s="228"/>
      <c r="N36" s="9"/>
      <c r="O36" s="9"/>
      <c r="P36" s="9"/>
      <c r="Q36" s="11"/>
      <c r="R36" s="230"/>
      <c r="S36" s="228"/>
      <c r="T36" s="9"/>
      <c r="U36" s="9"/>
      <c r="V36" s="227"/>
      <c r="W36" s="228"/>
      <c r="X36" s="227"/>
      <c r="Y36" s="229"/>
      <c r="Z36" s="230"/>
      <c r="AA36" s="228"/>
      <c r="AB36" s="9"/>
      <c r="AC36" s="9"/>
      <c r="AD36" s="9"/>
      <c r="AE36" s="11"/>
      <c r="AF36" s="10"/>
      <c r="AG36" s="227"/>
      <c r="AH36" s="228"/>
      <c r="AI36" s="9"/>
      <c r="AJ36" s="9"/>
      <c r="AK36" s="227"/>
      <c r="AL36" s="229"/>
      <c r="AM36" s="212">
        <f t="shared" si="2"/>
        <v>0</v>
      </c>
      <c r="AN36" s="213"/>
      <c r="AO36" s="212">
        <f t="shared" si="3"/>
        <v>23</v>
      </c>
      <c r="AP36" s="213"/>
      <c r="AQ36" s="214" t="s">
        <v>5</v>
      </c>
      <c r="AR36" s="215"/>
      <c r="AS36" s="215"/>
      <c r="AT36" s="215"/>
      <c r="AU36" s="216"/>
      <c r="AW36" s="8"/>
      <c r="AY36" s="7"/>
    </row>
    <row r="37" spans="1:51" ht="19.899999999999999" customHeight="1">
      <c r="A37" s="220">
        <v>7</v>
      </c>
      <c r="B37" s="221"/>
      <c r="C37" s="231" t="s">
        <v>115</v>
      </c>
      <c r="D37" s="232"/>
      <c r="E37" s="233"/>
      <c r="F37" s="230"/>
      <c r="G37" s="228"/>
      <c r="H37" s="9"/>
      <c r="I37" s="9"/>
      <c r="J37" s="9"/>
      <c r="K37" s="11"/>
      <c r="L37" s="230"/>
      <c r="M37" s="228"/>
      <c r="N37" s="9"/>
      <c r="O37" s="9"/>
      <c r="P37" s="9"/>
      <c r="Q37" s="50" t="s">
        <v>126</v>
      </c>
      <c r="R37" s="230"/>
      <c r="S37" s="228"/>
      <c r="T37" s="49" t="s">
        <v>126</v>
      </c>
      <c r="U37" s="9"/>
      <c r="V37" s="227"/>
      <c r="W37" s="228"/>
      <c r="X37" s="296" t="s">
        <v>126</v>
      </c>
      <c r="Y37" s="229"/>
      <c r="Z37" s="230"/>
      <c r="AA37" s="228"/>
      <c r="AB37" s="9"/>
      <c r="AC37" s="9"/>
      <c r="AD37" s="9"/>
      <c r="AE37" s="11"/>
      <c r="AF37" s="10"/>
      <c r="AG37" s="227"/>
      <c r="AH37" s="228"/>
      <c r="AI37" s="9"/>
      <c r="AJ37" s="9"/>
      <c r="AK37" s="227"/>
      <c r="AL37" s="229"/>
      <c r="AM37" s="212">
        <v>3</v>
      </c>
      <c r="AN37" s="213"/>
      <c r="AO37" s="212">
        <f t="shared" si="3"/>
        <v>20</v>
      </c>
      <c r="AP37" s="213"/>
      <c r="AQ37" s="214" t="s">
        <v>5</v>
      </c>
      <c r="AR37" s="215"/>
      <c r="AS37" s="215"/>
      <c r="AT37" s="215"/>
      <c r="AU37" s="216"/>
      <c r="AW37" s="8"/>
      <c r="AY37" s="7"/>
    </row>
    <row r="38" spans="1:51" ht="19.899999999999999" customHeight="1">
      <c r="A38" s="220">
        <v>8</v>
      </c>
      <c r="B38" s="221"/>
      <c r="C38" s="231" t="s">
        <v>116</v>
      </c>
      <c r="D38" s="232"/>
      <c r="E38" s="233"/>
      <c r="F38" s="230" t="s">
        <v>5</v>
      </c>
      <c r="G38" s="228"/>
      <c r="H38" s="9" t="s">
        <v>5</v>
      </c>
      <c r="I38" s="9" t="s">
        <v>5</v>
      </c>
      <c r="J38" s="9" t="s">
        <v>5</v>
      </c>
      <c r="K38" s="11" t="s">
        <v>5</v>
      </c>
      <c r="L38" s="230"/>
      <c r="M38" s="228"/>
      <c r="N38" s="9"/>
      <c r="O38" s="9"/>
      <c r="P38" s="9"/>
      <c r="Q38" s="11"/>
      <c r="R38" s="230"/>
      <c r="S38" s="228"/>
      <c r="T38" s="9"/>
      <c r="U38" s="9"/>
      <c r="V38" s="227"/>
      <c r="W38" s="228"/>
      <c r="X38" s="296" t="s">
        <v>126</v>
      </c>
      <c r="Y38" s="229"/>
      <c r="Z38" s="230"/>
      <c r="AA38" s="228"/>
      <c r="AB38" s="9"/>
      <c r="AC38" s="9"/>
      <c r="AD38" s="9"/>
      <c r="AE38" s="11"/>
      <c r="AF38" s="10"/>
      <c r="AG38" s="227"/>
      <c r="AH38" s="228"/>
      <c r="AI38" s="9"/>
      <c r="AJ38" s="9"/>
      <c r="AK38" s="227"/>
      <c r="AL38" s="229"/>
      <c r="AM38" s="212">
        <f t="shared" si="2"/>
        <v>0</v>
      </c>
      <c r="AN38" s="213"/>
      <c r="AO38" s="212">
        <f t="shared" si="3"/>
        <v>23</v>
      </c>
      <c r="AP38" s="213"/>
      <c r="AQ38" s="214" t="s">
        <v>5</v>
      </c>
      <c r="AR38" s="215"/>
      <c r="AS38" s="215"/>
      <c r="AT38" s="215"/>
      <c r="AU38" s="216"/>
      <c r="AW38" s="8"/>
      <c r="AY38" s="7"/>
    </row>
    <row r="39" spans="1:51" ht="19.899999999999999" customHeight="1">
      <c r="A39" s="220">
        <v>9</v>
      </c>
      <c r="B39" s="221"/>
      <c r="C39" s="231" t="s">
        <v>117</v>
      </c>
      <c r="D39" s="232"/>
      <c r="E39" s="233"/>
      <c r="F39" s="230" t="s">
        <v>5</v>
      </c>
      <c r="G39" s="228"/>
      <c r="H39" s="9" t="s">
        <v>5</v>
      </c>
      <c r="I39" s="9" t="s">
        <v>5</v>
      </c>
      <c r="J39" s="9" t="s">
        <v>5</v>
      </c>
      <c r="K39" s="11" t="s">
        <v>5</v>
      </c>
      <c r="L39" s="230"/>
      <c r="M39" s="228"/>
      <c r="N39" s="9"/>
      <c r="O39" s="9"/>
      <c r="P39" s="9"/>
      <c r="Q39" s="11"/>
      <c r="R39" s="230"/>
      <c r="S39" s="228"/>
      <c r="T39" s="9"/>
      <c r="U39" s="9"/>
      <c r="V39" s="227"/>
      <c r="W39" s="228"/>
      <c r="X39" s="227"/>
      <c r="Y39" s="229"/>
      <c r="Z39" s="230"/>
      <c r="AA39" s="228"/>
      <c r="AB39" s="9"/>
      <c r="AC39" s="9"/>
      <c r="AD39" s="9"/>
      <c r="AE39" s="11"/>
      <c r="AF39" s="10"/>
      <c r="AG39" s="227"/>
      <c r="AH39" s="228"/>
      <c r="AI39" s="9"/>
      <c r="AJ39" s="9"/>
      <c r="AK39" s="227"/>
      <c r="AL39" s="229"/>
      <c r="AM39" s="212">
        <f t="shared" si="2"/>
        <v>0</v>
      </c>
      <c r="AN39" s="213"/>
      <c r="AO39" s="212">
        <f t="shared" si="3"/>
        <v>23</v>
      </c>
      <c r="AP39" s="213"/>
      <c r="AQ39" s="214" t="s">
        <v>5</v>
      </c>
      <c r="AR39" s="215"/>
      <c r="AS39" s="215"/>
      <c r="AT39" s="215"/>
      <c r="AU39" s="216"/>
      <c r="AW39" s="8"/>
      <c r="AY39" s="7"/>
    </row>
    <row r="40" spans="1:51" ht="19.899999999999999" customHeight="1">
      <c r="A40" s="220">
        <v>10</v>
      </c>
      <c r="B40" s="221"/>
      <c r="C40" s="231" t="s">
        <v>118</v>
      </c>
      <c r="D40" s="232"/>
      <c r="E40" s="233"/>
      <c r="F40" s="230" t="s">
        <v>5</v>
      </c>
      <c r="G40" s="228"/>
      <c r="H40" s="9" t="s">
        <v>5</v>
      </c>
      <c r="I40" s="9" t="s">
        <v>5</v>
      </c>
      <c r="J40" s="9" t="s">
        <v>5</v>
      </c>
      <c r="K40" s="11" t="s">
        <v>5</v>
      </c>
      <c r="L40" s="230"/>
      <c r="M40" s="228"/>
      <c r="N40" s="9"/>
      <c r="O40" s="9"/>
      <c r="P40" s="9"/>
      <c r="Q40" s="11"/>
      <c r="R40" s="230"/>
      <c r="S40" s="228"/>
      <c r="T40" s="9"/>
      <c r="U40" s="9"/>
      <c r="V40" s="227"/>
      <c r="W40" s="228"/>
      <c r="X40" s="227"/>
      <c r="Y40" s="229"/>
      <c r="Z40" s="230"/>
      <c r="AA40" s="228"/>
      <c r="AB40" s="9"/>
      <c r="AC40" s="9"/>
      <c r="AD40" s="9"/>
      <c r="AE40" s="11"/>
      <c r="AF40" s="10"/>
      <c r="AG40" s="227"/>
      <c r="AH40" s="228"/>
      <c r="AI40" s="9"/>
      <c r="AJ40" s="9"/>
      <c r="AK40" s="227"/>
      <c r="AL40" s="229"/>
      <c r="AM40" s="212">
        <f t="shared" si="2"/>
        <v>0</v>
      </c>
      <c r="AN40" s="213"/>
      <c r="AO40" s="212">
        <f t="shared" si="3"/>
        <v>23</v>
      </c>
      <c r="AP40" s="213"/>
      <c r="AQ40" s="214" t="s">
        <v>5</v>
      </c>
      <c r="AR40" s="215"/>
      <c r="AS40" s="215"/>
      <c r="AT40" s="215"/>
      <c r="AU40" s="216"/>
      <c r="AW40" s="8"/>
      <c r="AY40" s="7"/>
    </row>
    <row r="41" spans="1:51" ht="19.899999999999999" customHeight="1">
      <c r="A41" s="220">
        <v>11</v>
      </c>
      <c r="B41" s="221"/>
      <c r="C41" s="231" t="s">
        <v>119</v>
      </c>
      <c r="D41" s="232"/>
      <c r="E41" s="233"/>
      <c r="F41" s="230" t="s">
        <v>5</v>
      </c>
      <c r="G41" s="228"/>
      <c r="H41" s="9" t="s">
        <v>5</v>
      </c>
      <c r="I41" s="9" t="s">
        <v>5</v>
      </c>
      <c r="J41" s="9" t="s">
        <v>5</v>
      </c>
      <c r="K41" s="11" t="s">
        <v>5</v>
      </c>
      <c r="L41" s="230"/>
      <c r="M41" s="228"/>
      <c r="N41" s="9"/>
      <c r="O41" s="9"/>
      <c r="P41" s="9"/>
      <c r="Q41" s="11"/>
      <c r="R41" s="230"/>
      <c r="S41" s="228"/>
      <c r="T41" s="9"/>
      <c r="U41" s="9"/>
      <c r="V41" s="227"/>
      <c r="W41" s="228"/>
      <c r="X41" s="227"/>
      <c r="Y41" s="229"/>
      <c r="Z41" s="295" t="s">
        <v>126</v>
      </c>
      <c r="AA41" s="228"/>
      <c r="AB41" s="9"/>
      <c r="AC41" s="9"/>
      <c r="AD41" s="9"/>
      <c r="AE41" s="11"/>
      <c r="AF41" s="10"/>
      <c r="AG41" s="227"/>
      <c r="AH41" s="228"/>
      <c r="AI41" s="9"/>
      <c r="AJ41" s="9"/>
      <c r="AK41" s="227"/>
      <c r="AL41" s="229"/>
      <c r="AM41" s="212">
        <v>1</v>
      </c>
      <c r="AN41" s="213"/>
      <c r="AO41" s="212">
        <f t="shared" si="3"/>
        <v>22</v>
      </c>
      <c r="AP41" s="213"/>
      <c r="AQ41" s="214" t="s">
        <v>5</v>
      </c>
      <c r="AR41" s="215"/>
      <c r="AS41" s="215"/>
      <c r="AT41" s="215"/>
      <c r="AU41" s="216"/>
      <c r="AW41" s="8"/>
      <c r="AY41" s="7"/>
    </row>
    <row r="42" spans="1:51" ht="19.899999999999999" customHeight="1">
      <c r="A42" s="220">
        <v>12</v>
      </c>
      <c r="B42" s="221"/>
      <c r="C42" s="231" t="s">
        <v>120</v>
      </c>
      <c r="D42" s="232"/>
      <c r="E42" s="233"/>
      <c r="F42" s="230" t="s">
        <v>5</v>
      </c>
      <c r="G42" s="228"/>
      <c r="H42" s="9" t="s">
        <v>5</v>
      </c>
      <c r="I42" s="9" t="s">
        <v>5</v>
      </c>
      <c r="J42" s="9" t="s">
        <v>5</v>
      </c>
      <c r="K42" s="11" t="s">
        <v>5</v>
      </c>
      <c r="L42" s="230"/>
      <c r="M42" s="228"/>
      <c r="N42" s="9"/>
      <c r="O42" s="9"/>
      <c r="P42" s="9"/>
      <c r="Q42" s="11"/>
      <c r="R42" s="230"/>
      <c r="S42" s="228"/>
      <c r="T42" s="9"/>
      <c r="U42" s="9"/>
      <c r="V42" s="227"/>
      <c r="W42" s="228"/>
      <c r="X42" s="227"/>
      <c r="Y42" s="229"/>
      <c r="Z42" s="230"/>
      <c r="AA42" s="228"/>
      <c r="AB42" s="9"/>
      <c r="AC42" s="9"/>
      <c r="AD42" s="9"/>
      <c r="AE42" s="11"/>
      <c r="AF42" s="10"/>
      <c r="AG42" s="227"/>
      <c r="AH42" s="228"/>
      <c r="AI42" s="49" t="s">
        <v>126</v>
      </c>
      <c r="AJ42" s="9"/>
      <c r="AK42" s="227"/>
      <c r="AL42" s="229"/>
      <c r="AM42" s="212">
        <v>1</v>
      </c>
      <c r="AN42" s="213"/>
      <c r="AO42" s="212">
        <f t="shared" si="3"/>
        <v>22</v>
      </c>
      <c r="AP42" s="213"/>
      <c r="AQ42" s="214" t="s">
        <v>5</v>
      </c>
      <c r="AR42" s="215"/>
      <c r="AS42" s="215"/>
      <c r="AT42" s="215"/>
      <c r="AU42" s="216"/>
      <c r="AW42" s="8"/>
      <c r="AY42" s="7"/>
    </row>
    <row r="43" spans="1:51" ht="19.899999999999999" customHeight="1">
      <c r="A43" s="220">
        <v>13</v>
      </c>
      <c r="B43" s="221"/>
      <c r="C43" s="231" t="s">
        <v>121</v>
      </c>
      <c r="D43" s="232"/>
      <c r="E43" s="233"/>
      <c r="F43" s="230" t="s">
        <v>5</v>
      </c>
      <c r="G43" s="228"/>
      <c r="H43" s="9" t="s">
        <v>5</v>
      </c>
      <c r="I43" s="9" t="s">
        <v>5</v>
      </c>
      <c r="J43" s="9" t="s">
        <v>5</v>
      </c>
      <c r="K43" s="11" t="s">
        <v>5</v>
      </c>
      <c r="L43" s="230"/>
      <c r="M43" s="228"/>
      <c r="N43" s="9"/>
      <c r="O43" s="9"/>
      <c r="P43" s="9"/>
      <c r="Q43" s="11"/>
      <c r="R43" s="230"/>
      <c r="S43" s="228"/>
      <c r="T43" s="9"/>
      <c r="U43" s="9"/>
      <c r="V43" s="227"/>
      <c r="W43" s="228"/>
      <c r="X43" s="227"/>
      <c r="Y43" s="229"/>
      <c r="Z43" s="230"/>
      <c r="AA43" s="228"/>
      <c r="AB43" s="9"/>
      <c r="AC43" s="9"/>
      <c r="AD43" s="9"/>
      <c r="AE43" s="11"/>
      <c r="AF43" s="10"/>
      <c r="AG43" s="227"/>
      <c r="AH43" s="228"/>
      <c r="AI43" s="9"/>
      <c r="AJ43" s="9"/>
      <c r="AK43" s="227"/>
      <c r="AL43" s="229"/>
      <c r="AM43" s="212">
        <f t="shared" si="2"/>
        <v>0</v>
      </c>
      <c r="AN43" s="213"/>
      <c r="AO43" s="212">
        <f t="shared" si="3"/>
        <v>23</v>
      </c>
      <c r="AP43" s="213"/>
      <c r="AQ43" s="214" t="s">
        <v>5</v>
      </c>
      <c r="AR43" s="215"/>
      <c r="AS43" s="215"/>
      <c r="AT43" s="215"/>
      <c r="AU43" s="216"/>
      <c r="AW43" s="8"/>
      <c r="AY43" s="7"/>
    </row>
    <row r="44" spans="1:51" ht="18" customHeight="1" thickBot="1">
      <c r="A44" s="220">
        <v>14</v>
      </c>
      <c r="B44" s="221"/>
      <c r="C44" s="231" t="s">
        <v>122</v>
      </c>
      <c r="D44" s="232"/>
      <c r="E44" s="233"/>
      <c r="F44" s="230" t="s">
        <v>5</v>
      </c>
      <c r="G44" s="228"/>
      <c r="H44" s="9" t="s">
        <v>5</v>
      </c>
      <c r="I44" s="9" t="s">
        <v>5</v>
      </c>
      <c r="J44" s="9" t="s">
        <v>5</v>
      </c>
      <c r="K44" s="11" t="s">
        <v>5</v>
      </c>
      <c r="L44" s="230"/>
      <c r="M44" s="228"/>
      <c r="N44" s="9"/>
      <c r="O44" s="9"/>
      <c r="P44" s="9"/>
      <c r="Q44" s="11"/>
      <c r="R44" s="230"/>
      <c r="S44" s="228"/>
      <c r="T44" s="9"/>
      <c r="U44" s="9"/>
      <c r="V44" s="227"/>
      <c r="W44" s="228"/>
      <c r="X44" s="227"/>
      <c r="Y44" s="229"/>
      <c r="Z44" s="230"/>
      <c r="AA44" s="228"/>
      <c r="AB44" s="9"/>
      <c r="AC44" s="9"/>
      <c r="AD44" s="9"/>
      <c r="AE44" s="11"/>
      <c r="AF44" s="10"/>
      <c r="AG44" s="227"/>
      <c r="AH44" s="228"/>
      <c r="AI44" s="9"/>
      <c r="AJ44" s="9"/>
      <c r="AK44" s="227"/>
      <c r="AL44" s="229"/>
      <c r="AM44" s="212">
        <f t="shared" si="2"/>
        <v>0</v>
      </c>
      <c r="AN44" s="213"/>
      <c r="AO44" s="212">
        <f t="shared" si="3"/>
        <v>23</v>
      </c>
      <c r="AP44" s="213"/>
      <c r="AQ44" s="214" t="s">
        <v>5</v>
      </c>
      <c r="AR44" s="215"/>
      <c r="AS44" s="215"/>
      <c r="AT44" s="215"/>
      <c r="AU44" s="216"/>
      <c r="AW44" s="8"/>
      <c r="AY44" s="7"/>
    </row>
    <row r="45" spans="1:51" ht="18.75" hidden="1" customHeight="1" thickBot="1">
      <c r="A45" s="220">
        <v>15</v>
      </c>
      <c r="B45" s="221"/>
      <c r="C45" s="222"/>
      <c r="D45" s="223"/>
      <c r="E45" s="224"/>
      <c r="F45" s="230" t="s">
        <v>5</v>
      </c>
      <c r="G45" s="228"/>
      <c r="H45" s="9" t="s">
        <v>5</v>
      </c>
      <c r="I45" s="9" t="s">
        <v>5</v>
      </c>
      <c r="J45" s="9" t="s">
        <v>5</v>
      </c>
      <c r="K45" s="11" t="s">
        <v>5</v>
      </c>
      <c r="L45" s="230"/>
      <c r="M45" s="228"/>
      <c r="N45" s="9"/>
      <c r="O45" s="9"/>
      <c r="P45" s="9"/>
      <c r="Q45" s="11"/>
      <c r="R45" s="230"/>
      <c r="S45" s="228"/>
      <c r="T45" s="9"/>
      <c r="U45" s="9"/>
      <c r="V45" s="227"/>
      <c r="W45" s="228"/>
      <c r="X45" s="227"/>
      <c r="Y45" s="229"/>
      <c r="Z45" s="230"/>
      <c r="AA45" s="228"/>
      <c r="AB45" s="9"/>
      <c r="AC45" s="9"/>
      <c r="AD45" s="9"/>
      <c r="AE45" s="11"/>
      <c r="AF45" s="10"/>
      <c r="AG45" s="227"/>
      <c r="AH45" s="228"/>
      <c r="AI45" s="9"/>
      <c r="AJ45" s="9"/>
      <c r="AK45" s="227"/>
      <c r="AL45" s="229"/>
      <c r="AM45" s="212">
        <f t="shared" si="2"/>
        <v>0</v>
      </c>
      <c r="AN45" s="213"/>
      <c r="AO45" s="212">
        <f t="shared" si="3"/>
        <v>23</v>
      </c>
      <c r="AP45" s="213"/>
      <c r="AQ45" s="214" t="s">
        <v>5</v>
      </c>
      <c r="AR45" s="215"/>
      <c r="AS45" s="215"/>
      <c r="AT45" s="215"/>
      <c r="AU45" s="216"/>
      <c r="AW45" s="8"/>
      <c r="AY45" s="7"/>
    </row>
    <row r="46" spans="1:51" ht="19.5" hidden="1" customHeight="1" thickBot="1">
      <c r="A46" s="220">
        <v>16</v>
      </c>
      <c r="B46" s="221"/>
      <c r="C46" s="222"/>
      <c r="D46" s="223"/>
      <c r="E46" s="224"/>
      <c r="F46" s="230" t="s">
        <v>5</v>
      </c>
      <c r="G46" s="228"/>
      <c r="H46" s="9" t="s">
        <v>5</v>
      </c>
      <c r="I46" s="9" t="s">
        <v>5</v>
      </c>
      <c r="J46" s="9" t="s">
        <v>5</v>
      </c>
      <c r="K46" s="11" t="s">
        <v>5</v>
      </c>
      <c r="L46" s="230"/>
      <c r="M46" s="228"/>
      <c r="N46" s="9"/>
      <c r="O46" s="9"/>
      <c r="P46" s="9"/>
      <c r="Q46" s="11"/>
      <c r="R46" s="230"/>
      <c r="S46" s="228"/>
      <c r="T46" s="9"/>
      <c r="U46" s="9"/>
      <c r="V46" s="227"/>
      <c r="W46" s="228"/>
      <c r="X46" s="227"/>
      <c r="Y46" s="229"/>
      <c r="Z46" s="230"/>
      <c r="AA46" s="228"/>
      <c r="AB46" s="9"/>
      <c r="AC46" s="9"/>
      <c r="AD46" s="9"/>
      <c r="AE46" s="11"/>
      <c r="AF46" s="10"/>
      <c r="AG46" s="227"/>
      <c r="AH46" s="228"/>
      <c r="AI46" s="9"/>
      <c r="AJ46" s="9"/>
      <c r="AK46" s="227"/>
      <c r="AL46" s="229"/>
      <c r="AM46" s="212">
        <f t="shared" si="2"/>
        <v>0</v>
      </c>
      <c r="AN46" s="213"/>
      <c r="AO46" s="212">
        <f t="shared" si="3"/>
        <v>23</v>
      </c>
      <c r="AP46" s="213"/>
      <c r="AQ46" s="214" t="s">
        <v>5</v>
      </c>
      <c r="AR46" s="215"/>
      <c r="AS46" s="215"/>
      <c r="AT46" s="215"/>
      <c r="AU46" s="216"/>
      <c r="AW46" s="8"/>
      <c r="AY46" s="7"/>
    </row>
    <row r="47" spans="1:51" ht="19.5" hidden="1" customHeight="1" thickBot="1">
      <c r="A47" s="220">
        <v>17</v>
      </c>
      <c r="B47" s="221"/>
      <c r="C47" s="222"/>
      <c r="D47" s="223"/>
      <c r="E47" s="224"/>
      <c r="F47" s="230" t="s">
        <v>5</v>
      </c>
      <c r="G47" s="228"/>
      <c r="H47" s="9" t="s">
        <v>5</v>
      </c>
      <c r="I47" s="9" t="s">
        <v>5</v>
      </c>
      <c r="J47" s="9" t="s">
        <v>5</v>
      </c>
      <c r="K47" s="11" t="s">
        <v>5</v>
      </c>
      <c r="L47" s="230"/>
      <c r="M47" s="228"/>
      <c r="N47" s="9"/>
      <c r="O47" s="9"/>
      <c r="P47" s="9"/>
      <c r="Q47" s="11"/>
      <c r="R47" s="230"/>
      <c r="S47" s="228"/>
      <c r="T47" s="9"/>
      <c r="U47" s="9"/>
      <c r="V47" s="227"/>
      <c r="W47" s="228"/>
      <c r="X47" s="227"/>
      <c r="Y47" s="229"/>
      <c r="Z47" s="230"/>
      <c r="AA47" s="228"/>
      <c r="AB47" s="9"/>
      <c r="AC47" s="9"/>
      <c r="AD47" s="9"/>
      <c r="AE47" s="11"/>
      <c r="AF47" s="10"/>
      <c r="AG47" s="227"/>
      <c r="AH47" s="228"/>
      <c r="AI47" s="9"/>
      <c r="AJ47" s="9"/>
      <c r="AK47" s="227"/>
      <c r="AL47" s="229"/>
      <c r="AM47" s="212">
        <f t="shared" si="2"/>
        <v>0</v>
      </c>
      <c r="AN47" s="213"/>
      <c r="AO47" s="212">
        <f t="shared" si="3"/>
        <v>23</v>
      </c>
      <c r="AP47" s="213"/>
      <c r="AQ47" s="214" t="s">
        <v>5</v>
      </c>
      <c r="AR47" s="215"/>
      <c r="AS47" s="215"/>
      <c r="AT47" s="215"/>
      <c r="AU47" s="216"/>
      <c r="AW47" s="8"/>
      <c r="AY47" s="7"/>
    </row>
    <row r="48" spans="1:51" ht="19.5" hidden="1" customHeight="1" thickBot="1">
      <c r="A48" s="220">
        <v>18</v>
      </c>
      <c r="B48" s="221"/>
      <c r="C48" s="222"/>
      <c r="D48" s="223"/>
      <c r="E48" s="224"/>
      <c r="F48" s="230" t="s">
        <v>5</v>
      </c>
      <c r="G48" s="228"/>
      <c r="H48" s="9" t="s">
        <v>5</v>
      </c>
      <c r="I48" s="9" t="s">
        <v>5</v>
      </c>
      <c r="J48" s="9" t="s">
        <v>5</v>
      </c>
      <c r="K48" s="11" t="s">
        <v>5</v>
      </c>
      <c r="L48" s="230"/>
      <c r="M48" s="228"/>
      <c r="N48" s="9"/>
      <c r="O48" s="9"/>
      <c r="P48" s="9"/>
      <c r="Q48" s="11"/>
      <c r="R48" s="230"/>
      <c r="S48" s="228"/>
      <c r="T48" s="9"/>
      <c r="U48" s="9"/>
      <c r="V48" s="227"/>
      <c r="W48" s="228"/>
      <c r="X48" s="227"/>
      <c r="Y48" s="229"/>
      <c r="Z48" s="230"/>
      <c r="AA48" s="228"/>
      <c r="AB48" s="9"/>
      <c r="AC48" s="9"/>
      <c r="AD48" s="9"/>
      <c r="AE48" s="11"/>
      <c r="AF48" s="10"/>
      <c r="AG48" s="227"/>
      <c r="AH48" s="228"/>
      <c r="AI48" s="9"/>
      <c r="AJ48" s="9"/>
      <c r="AK48" s="227"/>
      <c r="AL48" s="229"/>
      <c r="AM48" s="212">
        <f t="shared" si="2"/>
        <v>0</v>
      </c>
      <c r="AN48" s="213"/>
      <c r="AO48" s="212">
        <f t="shared" si="3"/>
        <v>23</v>
      </c>
      <c r="AP48" s="213"/>
      <c r="AQ48" s="214" t="s">
        <v>5</v>
      </c>
      <c r="AR48" s="215"/>
      <c r="AS48" s="215"/>
      <c r="AT48" s="215"/>
      <c r="AU48" s="216"/>
      <c r="AW48" s="8"/>
      <c r="AY48" s="7"/>
    </row>
    <row r="49" spans="1:51" ht="19.899999999999999" customHeight="1" thickBot="1">
      <c r="A49" s="220">
        <v>19</v>
      </c>
      <c r="B49" s="221"/>
      <c r="C49" s="222"/>
      <c r="D49" s="223"/>
      <c r="E49" s="224"/>
      <c r="F49" s="225" t="s">
        <v>5</v>
      </c>
      <c r="G49" s="198"/>
      <c r="H49" s="16"/>
      <c r="I49" s="16"/>
      <c r="J49" s="16"/>
      <c r="K49" s="17"/>
      <c r="L49" s="226"/>
      <c r="M49" s="210"/>
      <c r="N49" s="16"/>
      <c r="O49" s="16"/>
      <c r="P49" s="16"/>
      <c r="Q49" s="17"/>
      <c r="R49" s="226"/>
      <c r="S49" s="210"/>
      <c r="T49" s="16"/>
      <c r="U49" s="16"/>
      <c r="V49" s="209"/>
      <c r="W49" s="210"/>
      <c r="X49" s="209"/>
      <c r="Y49" s="211"/>
      <c r="Z49" s="226"/>
      <c r="AA49" s="210"/>
      <c r="AB49" s="16"/>
      <c r="AC49" s="16"/>
      <c r="AD49" s="16"/>
      <c r="AE49" s="17"/>
      <c r="AF49" s="15"/>
      <c r="AG49" s="209"/>
      <c r="AH49" s="210"/>
      <c r="AI49" s="16"/>
      <c r="AJ49" s="16"/>
      <c r="AK49" s="209"/>
      <c r="AL49" s="211"/>
      <c r="AM49" s="212">
        <f t="shared" si="2"/>
        <v>0</v>
      </c>
      <c r="AN49" s="213"/>
      <c r="AO49" s="212">
        <f t="shared" si="3"/>
        <v>23</v>
      </c>
      <c r="AP49" s="213"/>
      <c r="AQ49" s="214" t="s">
        <v>5</v>
      </c>
      <c r="AR49" s="215"/>
      <c r="AS49" s="215"/>
      <c r="AT49" s="215"/>
      <c r="AU49" s="216"/>
      <c r="AW49" s="217" t="s">
        <v>75</v>
      </c>
      <c r="AX49" s="218"/>
      <c r="AY49" s="219"/>
    </row>
    <row r="50" spans="1:51" ht="19.899999999999999" customHeight="1" thickTop="1" thickBot="1">
      <c r="A50" s="187">
        <v>14</v>
      </c>
      <c r="B50" s="188"/>
      <c r="C50" s="205" t="s">
        <v>22</v>
      </c>
      <c r="D50" s="206"/>
      <c r="E50" s="206"/>
      <c r="F50" s="207"/>
      <c r="G50" s="208"/>
      <c r="H50" s="28">
        <f>(14)-(COUNTIF(H31:H49,"X"))</f>
        <v>14</v>
      </c>
      <c r="I50" s="28">
        <f t="shared" ref="I50:AJ50" si="4">(14)-(COUNTIF(I31:I49,"X"))</f>
        <v>14</v>
      </c>
      <c r="J50" s="28">
        <f t="shared" si="4"/>
        <v>14</v>
      </c>
      <c r="K50" s="28">
        <f t="shared" si="4"/>
        <v>14</v>
      </c>
      <c r="L50" s="28">
        <f t="shared" si="4"/>
        <v>14</v>
      </c>
      <c r="M50" s="28">
        <f t="shared" si="4"/>
        <v>14</v>
      </c>
      <c r="N50" s="28">
        <f t="shared" si="4"/>
        <v>14</v>
      </c>
      <c r="O50" s="28">
        <f t="shared" si="4"/>
        <v>14</v>
      </c>
      <c r="P50" s="28">
        <f t="shared" si="4"/>
        <v>14</v>
      </c>
      <c r="Q50" s="28">
        <v>13</v>
      </c>
      <c r="R50" s="293">
        <f t="shared" si="4"/>
        <v>14</v>
      </c>
      <c r="S50" s="294"/>
      <c r="T50" s="28">
        <v>13</v>
      </c>
      <c r="U50" s="28">
        <v>13</v>
      </c>
      <c r="V50" s="293">
        <f t="shared" si="4"/>
        <v>14</v>
      </c>
      <c r="W50" s="294"/>
      <c r="X50" s="293">
        <v>10</v>
      </c>
      <c r="Y50" s="294"/>
      <c r="Z50" s="293">
        <v>13</v>
      </c>
      <c r="AA50" s="294"/>
      <c r="AB50" s="28">
        <f t="shared" si="4"/>
        <v>14</v>
      </c>
      <c r="AC50" s="28">
        <f t="shared" si="4"/>
        <v>14</v>
      </c>
      <c r="AD50" s="28">
        <v>13</v>
      </c>
      <c r="AE50" s="28">
        <f t="shared" si="4"/>
        <v>14</v>
      </c>
      <c r="AF50" s="28">
        <f t="shared" si="4"/>
        <v>14</v>
      </c>
      <c r="AG50" s="28">
        <f t="shared" si="4"/>
        <v>14</v>
      </c>
      <c r="AH50" s="28">
        <f t="shared" si="4"/>
        <v>14</v>
      </c>
      <c r="AI50" s="28">
        <v>13</v>
      </c>
      <c r="AJ50" s="28">
        <f t="shared" si="4"/>
        <v>14</v>
      </c>
      <c r="AK50" s="203"/>
      <c r="AL50" s="204"/>
      <c r="AM50" s="170">
        <f>SUM(AM31:AN49)</f>
        <v>9</v>
      </c>
      <c r="AN50" s="171"/>
      <c r="AO50" s="172">
        <v>313</v>
      </c>
      <c r="AP50" s="171"/>
      <c r="AQ50" s="173" t="s">
        <v>5</v>
      </c>
      <c r="AR50" s="174"/>
      <c r="AS50" s="174"/>
      <c r="AT50" s="174"/>
      <c r="AU50" s="175"/>
      <c r="AW50" s="12">
        <f>AW30</f>
        <v>23</v>
      </c>
      <c r="AX50" s="40">
        <v>14</v>
      </c>
      <c r="AY50" s="7">
        <f>AW50*AX50</f>
        <v>322</v>
      </c>
    </row>
    <row r="51" spans="1:51" ht="19.899999999999999" customHeight="1" thickBot="1">
      <c r="A51" s="187">
        <v>27</v>
      </c>
      <c r="B51" s="188"/>
      <c r="C51" s="189" t="s">
        <v>23</v>
      </c>
      <c r="D51" s="190"/>
      <c r="E51" s="191"/>
      <c r="F51" s="192">
        <f>F50+F30</f>
        <v>0</v>
      </c>
      <c r="G51" s="193"/>
      <c r="H51" s="27">
        <f>H50+H30</f>
        <v>27</v>
      </c>
      <c r="I51" s="27">
        <f>I50+I30</f>
        <v>27</v>
      </c>
      <c r="J51" s="27">
        <f>J50+J30</f>
        <v>27</v>
      </c>
      <c r="K51" s="27">
        <f>K30+K50</f>
        <v>27</v>
      </c>
      <c r="L51" s="194">
        <f>L30+L50</f>
        <v>27</v>
      </c>
      <c r="M51" s="195"/>
      <c r="N51" s="27">
        <f>N30+N50</f>
        <v>27</v>
      </c>
      <c r="O51" s="27">
        <f>O30+O50</f>
        <v>27</v>
      </c>
      <c r="P51" s="27">
        <f>P30+P50</f>
        <v>26</v>
      </c>
      <c r="Q51" s="27">
        <f>Q30+Q50</f>
        <v>24</v>
      </c>
      <c r="R51" s="194">
        <f>R30+R50</f>
        <v>26</v>
      </c>
      <c r="S51" s="195"/>
      <c r="T51" s="27">
        <f>T30+T50</f>
        <v>25</v>
      </c>
      <c r="U51" s="27">
        <f>U30+U50</f>
        <v>26</v>
      </c>
      <c r="V51" s="194">
        <f>V30+V50</f>
        <v>27</v>
      </c>
      <c r="W51" s="195"/>
      <c r="X51" s="194">
        <f>X30+X50</f>
        <v>21</v>
      </c>
      <c r="Y51" s="196"/>
      <c r="Z51" s="197">
        <f>Z30+Z50</f>
        <v>24</v>
      </c>
      <c r="AA51" s="198"/>
      <c r="AB51" s="19">
        <f t="shared" ref="AB51:AG51" si="5">AB30+AB50</f>
        <v>25</v>
      </c>
      <c r="AC51" s="19">
        <f t="shared" si="5"/>
        <v>26</v>
      </c>
      <c r="AD51" s="20">
        <f t="shared" si="5"/>
        <v>26</v>
      </c>
      <c r="AE51" s="24">
        <f t="shared" si="5"/>
        <v>25</v>
      </c>
      <c r="AF51" s="25">
        <f t="shared" si="5"/>
        <v>24</v>
      </c>
      <c r="AG51" s="199">
        <f t="shared" si="5"/>
        <v>27</v>
      </c>
      <c r="AH51" s="199"/>
      <c r="AI51" s="26">
        <f>AI50+AI30</f>
        <v>26</v>
      </c>
      <c r="AJ51" s="26">
        <f>AJ50+AJ30</f>
        <v>27</v>
      </c>
      <c r="AK51" s="168"/>
      <c r="AL51" s="169"/>
      <c r="AM51" s="170">
        <f>AM30+AM50</f>
        <v>26</v>
      </c>
      <c r="AN51" s="171"/>
      <c r="AO51" s="172">
        <f>AO30+AO50</f>
        <v>595</v>
      </c>
      <c r="AP51" s="171"/>
      <c r="AQ51" s="173" t="s">
        <v>5</v>
      </c>
      <c r="AR51" s="174"/>
      <c r="AS51" s="174"/>
      <c r="AT51" s="174"/>
      <c r="AU51" s="175"/>
      <c r="AW51" s="6"/>
      <c r="AX51" s="5"/>
      <c r="AY51" s="4"/>
    </row>
    <row r="52" spans="1:51" ht="10.15" customHeight="1">
      <c r="A52" s="176" t="s">
        <v>24</v>
      </c>
      <c r="B52" s="72"/>
      <c r="C52" s="72"/>
      <c r="D52" s="72"/>
      <c r="E52" s="72"/>
      <c r="F52" s="72"/>
      <c r="G52" s="72"/>
      <c r="H52" s="72"/>
      <c r="I52" s="72"/>
      <c r="J52" s="72"/>
      <c r="K52" s="72"/>
      <c r="L52" s="72"/>
      <c r="M52" s="72"/>
      <c r="N52" s="72"/>
      <c r="O52" s="72"/>
      <c r="P52" s="72"/>
      <c r="Q52" s="72"/>
      <c r="R52" s="72"/>
      <c r="S52" s="72"/>
      <c r="T52" s="72"/>
      <c r="U52" s="72"/>
      <c r="V52" s="72"/>
      <c r="W52" s="72"/>
      <c r="X52" s="72"/>
      <c r="Y52" s="1"/>
      <c r="Z52" s="82" t="s">
        <v>25</v>
      </c>
      <c r="AA52" s="83"/>
      <c r="AB52" s="83"/>
      <c r="AC52" s="83"/>
      <c r="AD52" s="83"/>
      <c r="AE52" s="83"/>
      <c r="AF52" s="83"/>
      <c r="AG52" s="83"/>
      <c r="AH52" s="83"/>
      <c r="AI52" s="83"/>
      <c r="AJ52" s="83"/>
      <c r="AK52" s="84"/>
      <c r="AL52" s="1"/>
      <c r="AM52" s="177" t="s">
        <v>26</v>
      </c>
      <c r="AN52" s="178"/>
      <c r="AO52" s="179"/>
      <c r="AP52" s="177" t="s">
        <v>125</v>
      </c>
      <c r="AQ52" s="179"/>
      <c r="AR52" s="183" t="s">
        <v>28</v>
      </c>
      <c r="AS52" s="184"/>
      <c r="AT52" s="184"/>
      <c r="AU52" s="185"/>
    </row>
    <row r="53" spans="1:51" ht="10.15" customHeight="1" thickBot="1">
      <c r="A53" s="186" t="s">
        <v>29</v>
      </c>
      <c r="B53" s="72"/>
      <c r="C53" s="72"/>
      <c r="D53" s="72"/>
      <c r="E53" s="72"/>
      <c r="F53" s="72"/>
      <c r="G53" s="72"/>
      <c r="H53" s="72"/>
      <c r="I53" s="72"/>
      <c r="J53" s="72"/>
      <c r="K53" s="72"/>
      <c r="L53" s="72"/>
      <c r="M53" s="72"/>
      <c r="N53" s="72"/>
      <c r="O53" s="72"/>
      <c r="P53" s="72"/>
      <c r="Q53" s="72"/>
      <c r="R53" s="72"/>
      <c r="S53" s="72"/>
      <c r="T53" s="72"/>
      <c r="U53" s="72"/>
      <c r="V53" s="72"/>
      <c r="W53" s="72"/>
      <c r="X53" s="72"/>
      <c r="Y53" s="1"/>
      <c r="Z53" s="150" t="s">
        <v>30</v>
      </c>
      <c r="AA53" s="151"/>
      <c r="AB53" s="151"/>
      <c r="AC53" s="151"/>
      <c r="AD53" s="151"/>
      <c r="AE53" s="151"/>
      <c r="AF53" s="151"/>
      <c r="AG53" s="151"/>
      <c r="AH53" s="151"/>
      <c r="AI53" s="151"/>
      <c r="AJ53" s="151"/>
      <c r="AK53" s="152"/>
      <c r="AL53" s="1"/>
      <c r="AM53" s="180"/>
      <c r="AN53" s="181"/>
      <c r="AO53" s="182"/>
      <c r="AP53" s="180"/>
      <c r="AQ53" s="182"/>
      <c r="AR53" s="3" t="s">
        <v>14</v>
      </c>
      <c r="AS53" s="3" t="s">
        <v>18</v>
      </c>
      <c r="AT53" s="153" t="s">
        <v>31</v>
      </c>
      <c r="AU53" s="154"/>
    </row>
    <row r="54" spans="1:51" ht="10.15" customHeight="1">
      <c r="A54" s="72"/>
      <c r="B54" s="72"/>
      <c r="C54" s="72"/>
      <c r="D54" s="72"/>
      <c r="E54" s="72"/>
      <c r="F54" s="72"/>
      <c r="G54" s="72"/>
      <c r="H54" s="72"/>
      <c r="I54" s="72"/>
      <c r="J54" s="72"/>
      <c r="K54" s="72"/>
      <c r="L54" s="72"/>
      <c r="M54" s="72"/>
      <c r="N54" s="72"/>
      <c r="O54" s="72"/>
      <c r="P54" s="72"/>
      <c r="Q54" s="72"/>
      <c r="R54" s="72"/>
      <c r="S54" s="72"/>
      <c r="T54" s="72"/>
      <c r="U54" s="72"/>
      <c r="V54" s="72"/>
      <c r="W54" s="72"/>
      <c r="X54" s="72"/>
      <c r="Y54" s="1"/>
      <c r="Z54" s="150"/>
      <c r="AA54" s="151"/>
      <c r="AB54" s="151"/>
      <c r="AC54" s="151"/>
      <c r="AD54" s="151"/>
      <c r="AE54" s="151"/>
      <c r="AF54" s="151"/>
      <c r="AG54" s="151"/>
      <c r="AH54" s="151"/>
      <c r="AI54" s="151"/>
      <c r="AJ54" s="151"/>
      <c r="AK54" s="152"/>
      <c r="AL54" s="1"/>
      <c r="AM54" s="155" t="s">
        <v>32</v>
      </c>
      <c r="AN54" s="156"/>
      <c r="AO54" s="156"/>
      <c r="AP54" s="156"/>
      <c r="AQ54" s="157"/>
      <c r="AR54" s="161">
        <v>12</v>
      </c>
      <c r="AS54" s="140">
        <v>14</v>
      </c>
      <c r="AT54" s="60">
        <f>AR54+AS54</f>
        <v>26</v>
      </c>
      <c r="AU54" s="61"/>
    </row>
    <row r="55" spans="1:51" ht="4.9000000000000004" customHeight="1">
      <c r="A55" s="72"/>
      <c r="B55" s="72"/>
      <c r="C55" s="72"/>
      <c r="D55" s="72"/>
      <c r="E55" s="72"/>
      <c r="F55" s="72"/>
      <c r="G55" s="72"/>
      <c r="H55" s="72"/>
      <c r="I55" s="72"/>
      <c r="J55" s="72"/>
      <c r="K55" s="72"/>
      <c r="L55" s="72"/>
      <c r="M55" s="72"/>
      <c r="N55" s="72"/>
      <c r="O55" s="72"/>
      <c r="P55" s="72"/>
      <c r="Q55" s="72"/>
      <c r="R55" s="72"/>
      <c r="S55" s="72"/>
      <c r="T55" s="72"/>
      <c r="U55" s="72"/>
      <c r="V55" s="72"/>
      <c r="W55" s="72"/>
      <c r="X55" s="72"/>
      <c r="Y55" s="1"/>
      <c r="Z55" s="82" t="s">
        <v>33</v>
      </c>
      <c r="AA55" s="83"/>
      <c r="AB55" s="83"/>
      <c r="AC55" s="83"/>
      <c r="AD55" s="83"/>
      <c r="AE55" s="83"/>
      <c r="AF55" s="83"/>
      <c r="AG55" s="83"/>
      <c r="AH55" s="83"/>
      <c r="AI55" s="83"/>
      <c r="AJ55" s="83"/>
      <c r="AK55" s="84"/>
      <c r="AL55" s="1"/>
      <c r="AM55" s="158"/>
      <c r="AN55" s="159"/>
      <c r="AO55" s="159"/>
      <c r="AP55" s="159"/>
      <c r="AQ55" s="160"/>
      <c r="AR55" s="162"/>
      <c r="AS55" s="142"/>
      <c r="AT55" s="103"/>
      <c r="AU55" s="104"/>
    </row>
    <row r="56" spans="1:51" ht="4.9000000000000004"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1"/>
      <c r="Z56" s="82"/>
      <c r="AA56" s="83"/>
      <c r="AB56" s="83"/>
      <c r="AC56" s="83"/>
      <c r="AD56" s="83"/>
      <c r="AE56" s="83"/>
      <c r="AF56" s="83"/>
      <c r="AG56" s="83"/>
      <c r="AH56" s="83"/>
      <c r="AI56" s="83"/>
      <c r="AJ56" s="83"/>
      <c r="AK56" s="84"/>
      <c r="AL56" s="1"/>
      <c r="AM56" s="163" t="s">
        <v>34</v>
      </c>
      <c r="AN56" s="164"/>
      <c r="AO56" s="165"/>
      <c r="AP56" s="166" t="s">
        <v>35</v>
      </c>
      <c r="AQ56" s="167"/>
      <c r="AR56" s="140">
        <v>0</v>
      </c>
      <c r="AS56" s="140">
        <v>0</v>
      </c>
      <c r="AT56" s="143">
        <v>0</v>
      </c>
      <c r="AU56" s="144"/>
    </row>
    <row r="57" spans="1:51" ht="7.9" customHeight="1">
      <c r="A57" s="1"/>
      <c r="B57" s="133" t="s">
        <v>36</v>
      </c>
      <c r="C57" s="72"/>
      <c r="D57" s="72"/>
      <c r="E57" s="72"/>
      <c r="F57" s="72"/>
      <c r="G57" s="149" t="s">
        <v>37</v>
      </c>
      <c r="H57" s="149"/>
      <c r="I57" s="149"/>
      <c r="J57" s="149"/>
      <c r="K57" s="149"/>
      <c r="L57" s="149"/>
      <c r="M57" s="149"/>
      <c r="N57" s="149"/>
      <c r="O57" s="149"/>
      <c r="P57" s="149"/>
      <c r="Q57" s="149"/>
      <c r="R57" s="149"/>
      <c r="S57" s="149"/>
      <c r="T57" s="119" t="s">
        <v>38</v>
      </c>
      <c r="U57" s="72"/>
      <c r="V57" s="72"/>
      <c r="W57" s="1"/>
      <c r="X57" s="1"/>
      <c r="Y57" s="1"/>
      <c r="Z57" s="82" t="s">
        <v>39</v>
      </c>
      <c r="AA57" s="83"/>
      <c r="AB57" s="83"/>
      <c r="AC57" s="83"/>
      <c r="AD57" s="83"/>
      <c r="AE57" s="83"/>
      <c r="AF57" s="83"/>
      <c r="AG57" s="83"/>
      <c r="AH57" s="83"/>
      <c r="AI57" s="83"/>
      <c r="AJ57" s="83"/>
      <c r="AK57" s="84"/>
      <c r="AL57" s="1"/>
      <c r="AM57" s="163"/>
      <c r="AN57" s="164"/>
      <c r="AO57" s="165"/>
      <c r="AP57" s="166"/>
      <c r="AQ57" s="167"/>
      <c r="AR57" s="141"/>
      <c r="AS57" s="141"/>
      <c r="AT57" s="145"/>
      <c r="AU57" s="146"/>
    </row>
    <row r="58" spans="1:51" ht="1.9" customHeight="1">
      <c r="A58" s="1"/>
      <c r="B58" s="72"/>
      <c r="C58" s="72"/>
      <c r="D58" s="72"/>
      <c r="E58" s="72"/>
      <c r="F58" s="72"/>
      <c r="G58" s="134"/>
      <c r="H58" s="134"/>
      <c r="I58" s="134"/>
      <c r="J58" s="134"/>
      <c r="K58" s="134"/>
      <c r="L58" s="134"/>
      <c r="M58" s="134"/>
      <c r="N58" s="134"/>
      <c r="O58" s="134"/>
      <c r="P58" s="134"/>
      <c r="Q58" s="134"/>
      <c r="R58" s="134"/>
      <c r="S58" s="134"/>
      <c r="T58" s="72"/>
      <c r="U58" s="72"/>
      <c r="V58" s="72"/>
      <c r="W58" s="1"/>
      <c r="X58" s="1"/>
      <c r="Y58" s="1"/>
      <c r="Z58" s="82"/>
      <c r="AA58" s="83"/>
      <c r="AB58" s="83"/>
      <c r="AC58" s="83"/>
      <c r="AD58" s="83"/>
      <c r="AE58" s="83"/>
      <c r="AF58" s="83"/>
      <c r="AG58" s="83"/>
      <c r="AH58" s="83"/>
      <c r="AI58" s="83"/>
      <c r="AJ58" s="83"/>
      <c r="AK58" s="84"/>
      <c r="AL58" s="1"/>
      <c r="AM58" s="123" t="s">
        <v>40</v>
      </c>
      <c r="AN58" s="124"/>
      <c r="AO58" s="124"/>
      <c r="AP58" s="124"/>
      <c r="AQ58" s="125"/>
      <c r="AR58" s="141"/>
      <c r="AS58" s="141"/>
      <c r="AT58" s="145"/>
      <c r="AU58" s="146"/>
    </row>
    <row r="59" spans="1:51" ht="10.15" customHeight="1">
      <c r="A59" s="1"/>
      <c r="B59" s="72"/>
      <c r="C59" s="72"/>
      <c r="D59" s="72"/>
      <c r="E59" s="72"/>
      <c r="F59" s="72"/>
      <c r="G59" s="119" t="s">
        <v>41</v>
      </c>
      <c r="H59" s="72"/>
      <c r="I59" s="72"/>
      <c r="J59" s="72"/>
      <c r="K59" s="72"/>
      <c r="L59" s="72"/>
      <c r="M59" s="72"/>
      <c r="N59" s="72"/>
      <c r="O59" s="72"/>
      <c r="P59" s="72"/>
      <c r="Q59" s="72"/>
      <c r="R59" s="72"/>
      <c r="S59" s="72"/>
      <c r="T59" s="72"/>
      <c r="U59" s="72"/>
      <c r="V59" s="72"/>
      <c r="W59" s="1"/>
      <c r="X59" s="1"/>
      <c r="Y59" s="1"/>
      <c r="Z59" s="77" t="s">
        <v>42</v>
      </c>
      <c r="AA59" s="78"/>
      <c r="AB59" s="78"/>
      <c r="AC59" s="78"/>
      <c r="AD59" s="78"/>
      <c r="AE59" s="78"/>
      <c r="AF59" s="78"/>
      <c r="AG59" s="78"/>
      <c r="AH59" s="78"/>
      <c r="AI59" s="78"/>
      <c r="AJ59" s="78"/>
      <c r="AK59" s="79"/>
      <c r="AL59" s="1"/>
      <c r="AM59" s="105"/>
      <c r="AN59" s="106"/>
      <c r="AO59" s="106"/>
      <c r="AP59" s="106"/>
      <c r="AQ59" s="107"/>
      <c r="AR59" s="142"/>
      <c r="AS59" s="142"/>
      <c r="AT59" s="147"/>
      <c r="AU59" s="148"/>
    </row>
    <row r="60" spans="1:51" ht="10.15" customHeight="1">
      <c r="A60" s="1"/>
      <c r="B60" s="133" t="s">
        <v>43</v>
      </c>
      <c r="C60" s="72"/>
      <c r="D60" s="72"/>
      <c r="E60" s="72"/>
      <c r="F60" s="72"/>
      <c r="G60" s="134" t="s">
        <v>44</v>
      </c>
      <c r="H60" s="134"/>
      <c r="I60" s="134"/>
      <c r="J60" s="134"/>
      <c r="K60" s="134"/>
      <c r="L60" s="134"/>
      <c r="M60" s="134"/>
      <c r="N60" s="134"/>
      <c r="O60" s="134"/>
      <c r="P60" s="134"/>
      <c r="Q60" s="134"/>
      <c r="R60" s="134"/>
      <c r="S60" s="134"/>
      <c r="T60" s="1"/>
      <c r="U60" s="1"/>
      <c r="V60" s="1"/>
      <c r="W60" s="1"/>
      <c r="X60" s="1"/>
      <c r="Y60" s="1"/>
      <c r="Z60" s="77"/>
      <c r="AA60" s="72"/>
      <c r="AB60" s="72"/>
      <c r="AC60" s="72"/>
      <c r="AD60" s="72"/>
      <c r="AE60" s="72"/>
      <c r="AF60" s="72"/>
      <c r="AG60" s="72"/>
      <c r="AH60" s="72"/>
      <c r="AI60" s="72"/>
      <c r="AJ60" s="72"/>
      <c r="AK60" s="79"/>
      <c r="AL60" s="1"/>
      <c r="AM60" s="135" t="s">
        <v>45</v>
      </c>
      <c r="AN60" s="136"/>
      <c r="AO60" s="136"/>
      <c r="AP60" s="136"/>
      <c r="AQ60" s="137"/>
      <c r="AR60" s="66">
        <v>13</v>
      </c>
      <c r="AS60" s="66">
        <v>14</v>
      </c>
      <c r="AT60" s="60">
        <f>AR60+AS60</f>
        <v>27</v>
      </c>
      <c r="AU60" s="61"/>
    </row>
    <row r="61" spans="1:51" ht="10.15" customHeight="1">
      <c r="A61" s="1"/>
      <c r="B61" s="72"/>
      <c r="C61" s="72"/>
      <c r="D61" s="72"/>
      <c r="E61" s="72"/>
      <c r="F61" s="72"/>
      <c r="G61" s="119" t="s">
        <v>46</v>
      </c>
      <c r="H61" s="72"/>
      <c r="I61" s="72"/>
      <c r="J61" s="72"/>
      <c r="K61" s="72"/>
      <c r="L61" s="72"/>
      <c r="M61" s="72"/>
      <c r="N61" s="72"/>
      <c r="O61" s="72"/>
      <c r="P61" s="72"/>
      <c r="Q61" s="72"/>
      <c r="R61" s="72"/>
      <c r="S61" s="72"/>
      <c r="T61" s="1"/>
      <c r="U61" s="1"/>
      <c r="V61" s="1"/>
      <c r="W61" s="1"/>
      <c r="X61" s="1"/>
      <c r="Y61" s="1"/>
      <c r="Z61" s="77"/>
      <c r="AA61" s="72"/>
      <c r="AB61" s="72"/>
      <c r="AC61" s="72"/>
      <c r="AD61" s="72"/>
      <c r="AE61" s="72"/>
      <c r="AF61" s="72"/>
      <c r="AG61" s="72"/>
      <c r="AH61" s="72"/>
      <c r="AI61" s="72"/>
      <c r="AJ61" s="72"/>
      <c r="AK61" s="79"/>
      <c r="AL61" s="1"/>
      <c r="AM61" s="120" t="s">
        <v>47</v>
      </c>
      <c r="AN61" s="121"/>
      <c r="AO61" s="121"/>
      <c r="AP61" s="121"/>
      <c r="AQ61" s="122"/>
      <c r="AR61" s="102"/>
      <c r="AS61" s="102"/>
      <c r="AT61" s="103"/>
      <c r="AU61" s="104"/>
    </row>
    <row r="62" spans="1:51" ht="10.15" customHeight="1">
      <c r="A62" s="1"/>
      <c r="B62" s="133" t="s">
        <v>48</v>
      </c>
      <c r="C62" s="72"/>
      <c r="D62" s="72"/>
      <c r="E62" s="72"/>
      <c r="F62" s="72"/>
      <c r="G62" s="134" t="s">
        <v>49</v>
      </c>
      <c r="H62" s="134"/>
      <c r="I62" s="134"/>
      <c r="J62" s="134"/>
      <c r="K62" s="134"/>
      <c r="L62" s="134"/>
      <c r="M62" s="134"/>
      <c r="N62" s="134"/>
      <c r="O62" s="134"/>
      <c r="P62" s="134"/>
      <c r="Q62" s="134"/>
      <c r="R62" s="134"/>
      <c r="S62" s="134"/>
      <c r="T62" s="119" t="s">
        <v>38</v>
      </c>
      <c r="U62" s="72"/>
      <c r="V62" s="72"/>
      <c r="W62" s="1"/>
      <c r="X62" s="1"/>
      <c r="Y62" s="1"/>
      <c r="Z62" s="77"/>
      <c r="AA62" s="78"/>
      <c r="AB62" s="78"/>
      <c r="AC62" s="78"/>
      <c r="AD62" s="78"/>
      <c r="AE62" s="78"/>
      <c r="AF62" s="78"/>
      <c r="AG62" s="78"/>
      <c r="AH62" s="78"/>
      <c r="AI62" s="78"/>
      <c r="AJ62" s="78"/>
      <c r="AK62" s="79"/>
      <c r="AL62" s="1"/>
      <c r="AM62" s="135" t="s">
        <v>50</v>
      </c>
      <c r="AN62" s="136"/>
      <c r="AO62" s="136"/>
      <c r="AP62" s="136"/>
      <c r="AQ62" s="137"/>
      <c r="AR62" s="138">
        <f>AR60/AR54*100</f>
        <v>108.33333333333333</v>
      </c>
      <c r="AS62" s="138">
        <f>AS60/AS54*100</f>
        <v>100</v>
      </c>
      <c r="AT62" s="115">
        <f>AT60/AT54*100</f>
        <v>103.84615384615385</v>
      </c>
      <c r="AU62" s="116"/>
    </row>
    <row r="63" spans="1:51" ht="10.15" customHeight="1">
      <c r="A63" s="1"/>
      <c r="B63" s="72"/>
      <c r="C63" s="72"/>
      <c r="D63" s="72"/>
      <c r="E63" s="72"/>
      <c r="F63" s="72"/>
      <c r="G63" s="119" t="s">
        <v>37</v>
      </c>
      <c r="H63" s="72"/>
      <c r="I63" s="72"/>
      <c r="J63" s="72"/>
      <c r="K63" s="72"/>
      <c r="L63" s="72"/>
      <c r="M63" s="72"/>
      <c r="N63" s="72"/>
      <c r="O63" s="72"/>
      <c r="P63" s="72"/>
      <c r="Q63" s="72"/>
      <c r="R63" s="72"/>
      <c r="S63" s="72"/>
      <c r="T63" s="72"/>
      <c r="U63" s="72"/>
      <c r="V63" s="72"/>
      <c r="W63" s="1"/>
      <c r="X63" s="1"/>
      <c r="Y63" s="1"/>
      <c r="Z63" s="82" t="s">
        <v>51</v>
      </c>
      <c r="AA63" s="83"/>
      <c r="AB63" s="83"/>
      <c r="AC63" s="83"/>
      <c r="AD63" s="83"/>
      <c r="AE63" s="83"/>
      <c r="AF63" s="83"/>
      <c r="AG63" s="83"/>
      <c r="AH63" s="83"/>
      <c r="AI63" s="83"/>
      <c r="AJ63" s="83"/>
      <c r="AK63" s="84"/>
      <c r="AL63" s="1"/>
      <c r="AM63" s="120" t="s">
        <v>47</v>
      </c>
      <c r="AN63" s="121"/>
      <c r="AO63" s="121"/>
      <c r="AP63" s="121"/>
      <c r="AQ63" s="122"/>
      <c r="AR63" s="139"/>
      <c r="AS63" s="139"/>
      <c r="AT63" s="117"/>
      <c r="AU63" s="118"/>
    </row>
    <row r="64" spans="1:51" ht="10.15" customHeight="1">
      <c r="A64" s="1"/>
      <c r="B64" s="1"/>
      <c r="C64" s="1"/>
      <c r="D64" s="1"/>
      <c r="E64" s="1"/>
      <c r="F64" s="1"/>
      <c r="G64" s="1"/>
      <c r="H64" s="1"/>
      <c r="I64" s="1"/>
      <c r="J64" s="1"/>
      <c r="K64" s="1"/>
      <c r="L64" s="1"/>
      <c r="M64" s="1"/>
      <c r="N64" s="1"/>
      <c r="O64" s="1"/>
      <c r="P64" s="1"/>
      <c r="Q64" s="1"/>
      <c r="R64" s="1"/>
      <c r="S64" s="1"/>
      <c r="T64" s="1"/>
      <c r="U64" s="1"/>
      <c r="V64" s="1"/>
      <c r="W64" s="1"/>
      <c r="X64" s="1"/>
      <c r="Y64" s="1"/>
      <c r="Z64" s="77" t="s">
        <v>52</v>
      </c>
      <c r="AA64" s="78"/>
      <c r="AB64" s="78"/>
      <c r="AC64" s="78"/>
      <c r="AD64" s="78"/>
      <c r="AE64" s="78"/>
      <c r="AF64" s="78"/>
      <c r="AG64" s="78"/>
      <c r="AH64" s="78"/>
      <c r="AI64" s="78"/>
      <c r="AJ64" s="78"/>
      <c r="AK64" s="79"/>
      <c r="AL64" s="1"/>
      <c r="AM64" s="123" t="s">
        <v>53</v>
      </c>
      <c r="AN64" s="124"/>
      <c r="AO64" s="124"/>
      <c r="AP64" s="124"/>
      <c r="AQ64" s="125"/>
      <c r="AR64" s="126">
        <v>13</v>
      </c>
      <c r="AS64" s="126">
        <f>AO50/AW5</f>
        <v>13.608695652173912</v>
      </c>
      <c r="AT64" s="128">
        <f>AO51/AW5</f>
        <v>25.869565217391305</v>
      </c>
      <c r="AU64" s="129"/>
    </row>
    <row r="65" spans="1:47" ht="4.9000000000000004" customHeight="1">
      <c r="A65" s="132" t="s">
        <v>54</v>
      </c>
      <c r="B65" s="72"/>
      <c r="C65" s="72"/>
      <c r="D65" s="72"/>
      <c r="E65" s="72"/>
      <c r="F65" s="72"/>
      <c r="G65" s="72"/>
      <c r="H65" s="72"/>
      <c r="I65" s="72"/>
      <c r="J65" s="72"/>
      <c r="K65" s="72"/>
      <c r="L65" s="72"/>
      <c r="M65" s="72"/>
      <c r="N65" s="72"/>
      <c r="O65" s="72"/>
      <c r="P65" s="72"/>
      <c r="Q65" s="72"/>
      <c r="R65" s="72"/>
      <c r="S65" s="72"/>
      <c r="T65" s="72"/>
      <c r="U65" s="72"/>
      <c r="V65" s="72"/>
      <c r="W65" s="72"/>
      <c r="X65" s="72"/>
      <c r="Y65" s="1"/>
      <c r="Z65" s="77"/>
      <c r="AA65" s="72"/>
      <c r="AB65" s="72"/>
      <c r="AC65" s="72"/>
      <c r="AD65" s="72"/>
      <c r="AE65" s="72"/>
      <c r="AF65" s="72"/>
      <c r="AG65" s="72"/>
      <c r="AH65" s="72"/>
      <c r="AI65" s="72"/>
      <c r="AJ65" s="72"/>
      <c r="AK65" s="79"/>
      <c r="AL65" s="1"/>
      <c r="AM65" s="105"/>
      <c r="AN65" s="106"/>
      <c r="AO65" s="106"/>
      <c r="AP65" s="106"/>
      <c r="AQ65" s="107"/>
      <c r="AR65" s="127"/>
      <c r="AS65" s="127"/>
      <c r="AT65" s="130"/>
      <c r="AU65" s="131"/>
    </row>
    <row r="66" spans="1:47" ht="15" customHeight="1">
      <c r="A66" s="72"/>
      <c r="B66" s="72"/>
      <c r="C66" s="72"/>
      <c r="D66" s="72"/>
      <c r="E66" s="72"/>
      <c r="F66" s="72"/>
      <c r="G66" s="72"/>
      <c r="H66" s="72"/>
      <c r="I66" s="72"/>
      <c r="J66" s="72"/>
      <c r="K66" s="72"/>
      <c r="L66" s="72"/>
      <c r="M66" s="72"/>
      <c r="N66" s="72"/>
      <c r="O66" s="72"/>
      <c r="P66" s="72"/>
      <c r="Q66" s="72"/>
      <c r="R66" s="72"/>
      <c r="S66" s="72"/>
      <c r="T66" s="72"/>
      <c r="U66" s="72"/>
      <c r="V66" s="72"/>
      <c r="W66" s="72"/>
      <c r="X66" s="72"/>
      <c r="Y66" s="1"/>
      <c r="Z66" s="77"/>
      <c r="AA66" s="72"/>
      <c r="AB66" s="72"/>
      <c r="AC66" s="72"/>
      <c r="AD66" s="72"/>
      <c r="AE66" s="72"/>
      <c r="AF66" s="72"/>
      <c r="AG66" s="72"/>
      <c r="AH66" s="72"/>
      <c r="AI66" s="72"/>
      <c r="AJ66" s="72"/>
      <c r="AK66" s="79"/>
      <c r="AL66" s="1"/>
      <c r="AM66" s="105" t="s">
        <v>55</v>
      </c>
      <c r="AN66" s="106"/>
      <c r="AO66" s="106"/>
      <c r="AP66" s="106"/>
      <c r="AQ66" s="107"/>
      <c r="AR66" s="38">
        <f>AR64/AR60*100</f>
        <v>100</v>
      </c>
      <c r="AS66" s="38">
        <f>AS64/AS60*100</f>
        <v>97.204968944099363</v>
      </c>
      <c r="AT66" s="108">
        <f>AT64/AT60*100</f>
        <v>95.813204508856685</v>
      </c>
      <c r="AU66" s="109"/>
    </row>
    <row r="67" spans="1:47" ht="21" customHeight="1">
      <c r="A67" s="72"/>
      <c r="B67" s="72"/>
      <c r="C67" s="72"/>
      <c r="D67" s="72"/>
      <c r="E67" s="72"/>
      <c r="F67" s="72"/>
      <c r="G67" s="72"/>
      <c r="H67" s="72"/>
      <c r="I67" s="72"/>
      <c r="J67" s="72"/>
      <c r="K67" s="72"/>
      <c r="L67" s="72"/>
      <c r="M67" s="72"/>
      <c r="N67" s="72"/>
      <c r="O67" s="72"/>
      <c r="P67" s="72"/>
      <c r="Q67" s="72"/>
      <c r="R67" s="72"/>
      <c r="S67" s="72"/>
      <c r="T67" s="72"/>
      <c r="U67" s="72"/>
      <c r="V67" s="72"/>
      <c r="W67" s="72"/>
      <c r="X67" s="72"/>
      <c r="Y67" s="1"/>
      <c r="Z67" s="77"/>
      <c r="AA67" s="72"/>
      <c r="AB67" s="72"/>
      <c r="AC67" s="72"/>
      <c r="AD67" s="72"/>
      <c r="AE67" s="72"/>
      <c r="AF67" s="72"/>
      <c r="AG67" s="72"/>
      <c r="AH67" s="72"/>
      <c r="AI67" s="72"/>
      <c r="AJ67" s="72"/>
      <c r="AK67" s="79"/>
      <c r="AL67" s="1"/>
      <c r="AM67" s="105" t="s">
        <v>56</v>
      </c>
      <c r="AN67" s="106"/>
      <c r="AO67" s="106"/>
      <c r="AP67" s="106"/>
      <c r="AQ67" s="107"/>
      <c r="AR67" s="2">
        <v>0</v>
      </c>
      <c r="AS67" s="2">
        <v>0</v>
      </c>
      <c r="AT67" s="110">
        <v>0</v>
      </c>
      <c r="AU67" s="111"/>
    </row>
    <row r="68" spans="1:47" ht="9" customHeight="1">
      <c r="A68" s="72"/>
      <c r="B68" s="72"/>
      <c r="C68" s="72"/>
      <c r="D68" s="72"/>
      <c r="E68" s="72"/>
      <c r="F68" s="72"/>
      <c r="G68" s="72"/>
      <c r="H68" s="72"/>
      <c r="I68" s="72"/>
      <c r="J68" s="72"/>
      <c r="K68" s="72"/>
      <c r="L68" s="72"/>
      <c r="M68" s="72"/>
      <c r="N68" s="72"/>
      <c r="O68" s="72"/>
      <c r="P68" s="72"/>
      <c r="Q68" s="72"/>
      <c r="R68" s="72"/>
      <c r="S68" s="72"/>
      <c r="T68" s="72"/>
      <c r="U68" s="72"/>
      <c r="V68" s="72"/>
      <c r="W68" s="72"/>
      <c r="X68" s="72"/>
      <c r="Y68" s="1"/>
      <c r="Z68" s="77"/>
      <c r="AA68" s="78"/>
      <c r="AB68" s="78"/>
      <c r="AC68" s="78"/>
      <c r="AD68" s="78"/>
      <c r="AE68" s="78"/>
      <c r="AF68" s="78"/>
      <c r="AG68" s="78"/>
      <c r="AH68" s="78"/>
      <c r="AI68" s="78"/>
      <c r="AJ68" s="78"/>
      <c r="AK68" s="79"/>
      <c r="AL68" s="1"/>
      <c r="AM68" s="112" t="s">
        <v>57</v>
      </c>
      <c r="AN68" s="113"/>
      <c r="AO68" s="113"/>
      <c r="AP68" s="113"/>
      <c r="AQ68" s="114"/>
      <c r="AR68" s="66">
        <v>0</v>
      </c>
      <c r="AS68" s="66">
        <v>0</v>
      </c>
      <c r="AT68" s="60">
        <v>0</v>
      </c>
      <c r="AU68" s="61"/>
    </row>
    <row r="69" spans="1:47" ht="4.1500000000000004" customHeight="1">
      <c r="A69" s="1"/>
      <c r="B69" s="68" t="s">
        <v>58</v>
      </c>
      <c r="C69" s="69"/>
      <c r="D69" s="69"/>
      <c r="E69" s="69"/>
      <c r="F69" s="69"/>
      <c r="G69" s="69"/>
      <c r="H69" s="69"/>
      <c r="I69" s="69"/>
      <c r="J69" s="69"/>
      <c r="K69" s="69"/>
      <c r="L69" s="69"/>
      <c r="M69" s="69"/>
      <c r="N69" s="69"/>
      <c r="O69" s="69"/>
      <c r="P69" s="69"/>
      <c r="Q69" s="69"/>
      <c r="R69" s="69"/>
      <c r="S69" s="69"/>
      <c r="T69" s="69"/>
      <c r="U69" s="69"/>
      <c r="V69" s="69"/>
      <c r="W69" s="69"/>
      <c r="X69" s="70"/>
      <c r="Y69" s="1"/>
      <c r="Z69" s="82" t="s">
        <v>59</v>
      </c>
      <c r="AA69" s="83"/>
      <c r="AB69" s="83"/>
      <c r="AC69" s="83"/>
      <c r="AD69" s="83"/>
      <c r="AE69" s="83"/>
      <c r="AF69" s="83"/>
      <c r="AG69" s="83"/>
      <c r="AH69" s="83"/>
      <c r="AI69" s="83"/>
      <c r="AJ69" s="83"/>
      <c r="AK69" s="84"/>
      <c r="AL69" s="1"/>
      <c r="AM69" s="99"/>
      <c r="AN69" s="100"/>
      <c r="AO69" s="100"/>
      <c r="AP69" s="100"/>
      <c r="AQ69" s="101"/>
      <c r="AR69" s="102"/>
      <c r="AS69" s="102"/>
      <c r="AT69" s="103"/>
      <c r="AU69" s="104"/>
    </row>
    <row r="70" spans="1:47" ht="6" customHeight="1">
      <c r="A70" s="1"/>
      <c r="B70" s="71"/>
      <c r="C70" s="72"/>
      <c r="D70" s="72"/>
      <c r="E70" s="72"/>
      <c r="F70" s="72"/>
      <c r="G70" s="72"/>
      <c r="H70" s="72"/>
      <c r="I70" s="72"/>
      <c r="J70" s="72"/>
      <c r="K70" s="72"/>
      <c r="L70" s="72"/>
      <c r="M70" s="72"/>
      <c r="N70" s="72"/>
      <c r="O70" s="72"/>
      <c r="P70" s="72"/>
      <c r="Q70" s="72"/>
      <c r="R70" s="72"/>
      <c r="S70" s="72"/>
      <c r="T70" s="72"/>
      <c r="U70" s="72"/>
      <c r="V70" s="72"/>
      <c r="W70" s="72"/>
      <c r="X70" s="73"/>
      <c r="Y70" s="1"/>
      <c r="Z70" s="82"/>
      <c r="AA70" s="83"/>
      <c r="AB70" s="83"/>
      <c r="AC70" s="83"/>
      <c r="AD70" s="83"/>
      <c r="AE70" s="83"/>
      <c r="AF70" s="83"/>
      <c r="AG70" s="83"/>
      <c r="AH70" s="83"/>
      <c r="AI70" s="83"/>
      <c r="AJ70" s="83"/>
      <c r="AK70" s="84"/>
      <c r="AL70" s="1"/>
      <c r="AM70" s="87" t="s">
        <v>60</v>
      </c>
      <c r="AN70" s="88"/>
      <c r="AO70" s="88"/>
      <c r="AP70" s="88"/>
      <c r="AQ70" s="89"/>
      <c r="AR70" s="66">
        <v>0</v>
      </c>
      <c r="AS70" s="66">
        <v>0</v>
      </c>
      <c r="AT70" s="60">
        <v>0</v>
      </c>
      <c r="AU70" s="61"/>
    </row>
    <row r="71" spans="1:47" ht="7.15" customHeight="1">
      <c r="A71" s="1"/>
      <c r="B71" s="71"/>
      <c r="C71" s="72"/>
      <c r="D71" s="72"/>
      <c r="E71" s="72"/>
      <c r="F71" s="72"/>
      <c r="G71" s="72"/>
      <c r="H71" s="72"/>
      <c r="I71" s="72"/>
      <c r="J71" s="72"/>
      <c r="K71" s="72"/>
      <c r="L71" s="72"/>
      <c r="M71" s="72"/>
      <c r="N71" s="72"/>
      <c r="O71" s="72"/>
      <c r="P71" s="72"/>
      <c r="Q71" s="72"/>
      <c r="R71" s="72"/>
      <c r="S71" s="72"/>
      <c r="T71" s="72"/>
      <c r="U71" s="72"/>
      <c r="V71" s="72"/>
      <c r="W71" s="72"/>
      <c r="X71" s="73"/>
      <c r="Y71" s="1"/>
      <c r="Z71" s="77" t="s">
        <v>61</v>
      </c>
      <c r="AA71" s="78"/>
      <c r="AB71" s="78"/>
      <c r="AC71" s="78"/>
      <c r="AD71" s="78"/>
      <c r="AE71" s="78"/>
      <c r="AF71" s="78"/>
      <c r="AG71" s="78"/>
      <c r="AH71" s="78"/>
      <c r="AI71" s="78"/>
      <c r="AJ71" s="78"/>
      <c r="AK71" s="79"/>
      <c r="AL71" s="1"/>
      <c r="AM71" s="99"/>
      <c r="AN71" s="100"/>
      <c r="AO71" s="100"/>
      <c r="AP71" s="100"/>
      <c r="AQ71" s="101"/>
      <c r="AR71" s="102"/>
      <c r="AS71" s="102"/>
      <c r="AT71" s="103"/>
      <c r="AU71" s="104"/>
    </row>
    <row r="72" spans="1:47" ht="3" customHeight="1">
      <c r="A72" s="1"/>
      <c r="B72" s="74"/>
      <c r="C72" s="75"/>
      <c r="D72" s="75"/>
      <c r="E72" s="75"/>
      <c r="F72" s="75"/>
      <c r="G72" s="75"/>
      <c r="H72" s="75"/>
      <c r="I72" s="75"/>
      <c r="J72" s="75"/>
      <c r="K72" s="75"/>
      <c r="L72" s="75"/>
      <c r="M72" s="75"/>
      <c r="N72" s="75"/>
      <c r="O72" s="75"/>
      <c r="P72" s="75"/>
      <c r="Q72" s="75"/>
      <c r="R72" s="75"/>
      <c r="S72" s="75"/>
      <c r="T72" s="75"/>
      <c r="U72" s="75"/>
      <c r="V72" s="75"/>
      <c r="W72" s="75"/>
      <c r="X72" s="76"/>
      <c r="Y72" s="1"/>
      <c r="Z72" s="77"/>
      <c r="AA72" s="72"/>
      <c r="AB72" s="72"/>
      <c r="AC72" s="72"/>
      <c r="AD72" s="72"/>
      <c r="AE72" s="72"/>
      <c r="AF72" s="72"/>
      <c r="AG72" s="72"/>
      <c r="AH72" s="72"/>
      <c r="AI72" s="72"/>
      <c r="AJ72" s="72"/>
      <c r="AK72" s="79"/>
      <c r="AL72" s="1"/>
      <c r="AM72" s="87" t="s">
        <v>62</v>
      </c>
      <c r="AN72" s="88"/>
      <c r="AO72" s="88"/>
      <c r="AP72" s="88"/>
      <c r="AQ72" s="89"/>
      <c r="AR72" s="66">
        <v>1</v>
      </c>
      <c r="AS72" s="66">
        <v>0</v>
      </c>
      <c r="AT72" s="60">
        <v>0</v>
      </c>
      <c r="AU72" s="61"/>
    </row>
    <row r="73" spans="1:47" ht="10.15" customHeight="1" thickBot="1">
      <c r="A73" s="1"/>
      <c r="B73" s="1"/>
      <c r="C73" s="1"/>
      <c r="D73" s="1"/>
      <c r="E73" s="1"/>
      <c r="F73" s="1"/>
      <c r="G73" s="1"/>
      <c r="H73" s="1"/>
      <c r="I73" s="1"/>
      <c r="J73" s="1"/>
      <c r="K73" s="1"/>
      <c r="L73" s="1"/>
      <c r="M73" s="1"/>
      <c r="N73" s="1"/>
      <c r="O73" s="1"/>
      <c r="P73" s="1"/>
      <c r="Q73" s="1"/>
      <c r="R73" s="1"/>
      <c r="S73" s="1"/>
      <c r="T73" s="1"/>
      <c r="U73" s="1"/>
      <c r="V73" s="1"/>
      <c r="W73" s="1"/>
      <c r="X73" s="1"/>
      <c r="Y73" s="1"/>
      <c r="Z73" s="77"/>
      <c r="AA73" s="72"/>
      <c r="AB73" s="72"/>
      <c r="AC73" s="72"/>
      <c r="AD73" s="72"/>
      <c r="AE73" s="72"/>
      <c r="AF73" s="72"/>
      <c r="AG73" s="72"/>
      <c r="AH73" s="72"/>
      <c r="AI73" s="72"/>
      <c r="AJ73" s="72"/>
      <c r="AK73" s="79"/>
      <c r="AL73" s="1"/>
      <c r="AM73" s="90"/>
      <c r="AN73" s="91"/>
      <c r="AO73" s="91"/>
      <c r="AP73" s="91"/>
      <c r="AQ73" s="92"/>
      <c r="AR73" s="67"/>
      <c r="AS73" s="67"/>
      <c r="AT73" s="62"/>
      <c r="AU73" s="63"/>
    </row>
    <row r="74" spans="1:47" ht="10.15" customHeight="1">
      <c r="A74" s="1"/>
      <c r="B74" s="1"/>
      <c r="C74" s="1"/>
      <c r="D74" s="1"/>
      <c r="E74" s="1"/>
      <c r="F74" s="1"/>
      <c r="G74" s="1"/>
      <c r="H74" s="1"/>
      <c r="I74" s="1"/>
      <c r="J74" s="1"/>
      <c r="K74" s="1"/>
      <c r="L74" s="1"/>
      <c r="M74" s="1"/>
      <c r="N74" s="1"/>
      <c r="O74" s="1"/>
      <c r="P74" s="1"/>
      <c r="Q74" s="1"/>
      <c r="R74" s="1"/>
      <c r="S74" s="1"/>
      <c r="T74" s="1"/>
      <c r="U74" s="1"/>
      <c r="V74" s="1"/>
      <c r="W74" s="1"/>
      <c r="X74" s="1"/>
      <c r="Y74" s="1"/>
      <c r="Z74" s="77"/>
      <c r="AA74" s="78"/>
      <c r="AB74" s="78"/>
      <c r="AC74" s="78"/>
      <c r="AD74" s="78"/>
      <c r="AE74" s="78"/>
      <c r="AF74" s="78"/>
      <c r="AG74" s="78"/>
      <c r="AH74" s="78"/>
      <c r="AI74" s="78"/>
      <c r="AJ74" s="78"/>
      <c r="AK74" s="79"/>
      <c r="AL74" s="1"/>
      <c r="AM74" s="1"/>
      <c r="AN74" s="1"/>
      <c r="AO74" s="1"/>
      <c r="AP74" s="1"/>
      <c r="AQ74" s="1"/>
      <c r="AR74" s="1"/>
      <c r="AS74" s="1"/>
      <c r="AT74" s="1"/>
      <c r="AU74" s="1"/>
    </row>
    <row r="75" spans="1:47" ht="10.15" customHeight="1">
      <c r="A75" s="1"/>
      <c r="B75" s="1"/>
      <c r="C75" s="1"/>
      <c r="D75" s="1"/>
      <c r="E75" s="1"/>
      <c r="F75" s="1"/>
      <c r="G75" s="1"/>
      <c r="H75" s="1"/>
      <c r="I75" s="1"/>
      <c r="J75" s="1"/>
      <c r="K75" s="1"/>
      <c r="L75" s="1"/>
      <c r="M75" s="1"/>
      <c r="N75" s="1"/>
      <c r="O75" s="1"/>
      <c r="P75" s="1"/>
      <c r="Q75" s="1"/>
      <c r="R75" s="1"/>
      <c r="S75" s="1"/>
      <c r="T75" s="1"/>
      <c r="U75" s="1"/>
      <c r="V75" s="1"/>
      <c r="W75" s="1"/>
      <c r="X75" s="1"/>
      <c r="Y75" s="1"/>
      <c r="Z75" s="82" t="s">
        <v>63</v>
      </c>
      <c r="AA75" s="83"/>
      <c r="AB75" s="83"/>
      <c r="AC75" s="83"/>
      <c r="AD75" s="83"/>
      <c r="AE75" s="83"/>
      <c r="AF75" s="83"/>
      <c r="AG75" s="83"/>
      <c r="AH75" s="83"/>
      <c r="AI75" s="83"/>
      <c r="AJ75" s="83"/>
      <c r="AK75" s="84"/>
      <c r="AL75" s="1"/>
      <c r="AM75" s="85" t="s">
        <v>64</v>
      </c>
      <c r="AN75" s="72"/>
      <c r="AO75" s="72"/>
      <c r="AP75" s="72"/>
      <c r="AQ75" s="72"/>
      <c r="AR75" s="72"/>
      <c r="AS75" s="72"/>
      <c r="AT75" s="72"/>
      <c r="AU75" s="72"/>
    </row>
    <row r="76" spans="1:47" ht="10.15" customHeight="1">
      <c r="A76" s="1"/>
      <c r="B76" s="1"/>
      <c r="C76" s="1"/>
      <c r="D76" s="1"/>
      <c r="E76" s="1"/>
      <c r="F76" s="1"/>
      <c r="G76" s="1"/>
      <c r="H76" s="1"/>
      <c r="I76" s="1"/>
      <c r="J76" s="1"/>
      <c r="K76" s="1"/>
      <c r="L76" s="1"/>
      <c r="M76" s="1"/>
      <c r="N76" s="1"/>
      <c r="O76" s="1"/>
      <c r="P76" s="1"/>
      <c r="Q76" s="1"/>
      <c r="R76" s="1"/>
      <c r="S76" s="1"/>
      <c r="T76" s="1"/>
      <c r="U76" s="1"/>
      <c r="V76" s="1"/>
      <c r="W76" s="1"/>
      <c r="X76" s="1"/>
      <c r="Y76" s="1"/>
      <c r="Z76" s="77" t="s">
        <v>65</v>
      </c>
      <c r="AA76" s="78"/>
      <c r="AB76" s="78"/>
      <c r="AC76" s="78"/>
      <c r="AD76" s="78"/>
      <c r="AE76" s="78"/>
      <c r="AF76" s="78"/>
      <c r="AG76" s="78"/>
      <c r="AH76" s="78"/>
      <c r="AI76" s="78"/>
      <c r="AJ76" s="78"/>
      <c r="AK76" s="79"/>
      <c r="AL76" s="1"/>
      <c r="AM76" s="72"/>
      <c r="AN76" s="72"/>
      <c r="AO76" s="72"/>
      <c r="AP76" s="72"/>
      <c r="AQ76" s="72"/>
      <c r="AR76" s="72"/>
      <c r="AS76" s="72"/>
      <c r="AT76" s="72"/>
      <c r="AU76" s="72"/>
    </row>
    <row r="77" spans="1:47" ht="19.899999999999999" customHeight="1">
      <c r="A77" s="1"/>
      <c r="B77" s="1"/>
      <c r="C77" s="1"/>
      <c r="D77" s="1"/>
      <c r="E77" s="1"/>
      <c r="F77" s="1"/>
      <c r="G77" s="1"/>
      <c r="H77" s="1"/>
      <c r="I77" s="1"/>
      <c r="J77" s="1"/>
      <c r="K77" s="1"/>
      <c r="L77" s="1"/>
      <c r="M77" s="1"/>
      <c r="N77" s="1"/>
      <c r="O77" s="1"/>
      <c r="P77" s="1"/>
      <c r="Q77" s="1"/>
      <c r="R77" s="1"/>
      <c r="S77" s="1"/>
      <c r="T77" s="1"/>
      <c r="U77" s="1"/>
      <c r="V77" s="1"/>
      <c r="W77" s="1"/>
      <c r="X77" s="1"/>
      <c r="Y77" s="1"/>
      <c r="Z77" s="77"/>
      <c r="AA77" s="78"/>
      <c r="AB77" s="78"/>
      <c r="AC77" s="78"/>
      <c r="AD77" s="78"/>
      <c r="AE77" s="78"/>
      <c r="AF77" s="78"/>
      <c r="AG77" s="78"/>
      <c r="AH77" s="78"/>
      <c r="AI77" s="78"/>
      <c r="AJ77" s="78"/>
      <c r="AK77" s="79"/>
      <c r="AL77" s="1"/>
      <c r="AM77" s="1"/>
      <c r="AN77" s="86" t="s">
        <v>127</v>
      </c>
      <c r="AO77" s="86"/>
      <c r="AP77" s="86"/>
      <c r="AQ77" s="86"/>
      <c r="AR77" s="86"/>
      <c r="AS77" s="86"/>
      <c r="AT77" s="86"/>
      <c r="AU77" s="86"/>
    </row>
    <row r="78" spans="1:47" ht="10.15" customHeight="1" thickBot="1">
      <c r="A78" s="1"/>
      <c r="B78" s="1"/>
      <c r="C78" s="1"/>
      <c r="D78" s="1"/>
      <c r="E78" s="1"/>
      <c r="F78" s="1"/>
      <c r="G78" s="1"/>
      <c r="H78" s="1"/>
      <c r="I78" s="1"/>
      <c r="J78" s="1"/>
      <c r="K78" s="1"/>
      <c r="L78" s="1"/>
      <c r="M78" s="1"/>
      <c r="N78" s="1"/>
      <c r="O78" s="1"/>
      <c r="P78" s="1"/>
      <c r="Q78" s="1"/>
      <c r="R78" s="1"/>
      <c r="S78" s="1"/>
      <c r="T78" s="1"/>
      <c r="U78" s="1"/>
      <c r="V78" s="1"/>
      <c r="W78" s="1"/>
      <c r="X78" s="1"/>
      <c r="Y78" s="1"/>
      <c r="Z78" s="82" t="s">
        <v>66</v>
      </c>
      <c r="AA78" s="83"/>
      <c r="AB78" s="83"/>
      <c r="AC78" s="83"/>
      <c r="AD78" s="83"/>
      <c r="AE78" s="83"/>
      <c r="AF78" s="83"/>
      <c r="AG78" s="83"/>
      <c r="AH78" s="83"/>
      <c r="AI78" s="83"/>
      <c r="AJ78" s="83"/>
      <c r="AK78" s="84"/>
      <c r="AL78" s="1"/>
      <c r="AM78" s="1"/>
      <c r="AN78" s="65"/>
      <c r="AO78" s="65"/>
      <c r="AP78" s="65"/>
      <c r="AQ78" s="65"/>
      <c r="AR78" s="65"/>
      <c r="AS78" s="65"/>
      <c r="AT78" s="65"/>
      <c r="AU78" s="65"/>
    </row>
    <row r="79" spans="1:47" ht="10.15" customHeight="1">
      <c r="A79" s="1"/>
      <c r="B79" s="1"/>
      <c r="C79" s="1"/>
      <c r="D79" s="1"/>
      <c r="E79" s="1"/>
      <c r="F79" s="1"/>
      <c r="G79" s="1"/>
      <c r="H79" s="1"/>
      <c r="I79" s="1"/>
      <c r="J79" s="1"/>
      <c r="K79" s="1"/>
      <c r="L79" s="1"/>
      <c r="M79" s="1"/>
      <c r="N79" s="1"/>
      <c r="O79" s="1"/>
      <c r="P79" s="1"/>
      <c r="Q79" s="1"/>
      <c r="R79" s="1"/>
      <c r="S79" s="1"/>
      <c r="T79" s="1"/>
      <c r="U79" s="1"/>
      <c r="V79" s="1"/>
      <c r="W79" s="1"/>
      <c r="X79" s="1"/>
      <c r="Y79" s="1"/>
      <c r="Z79" s="77" t="s">
        <v>67</v>
      </c>
      <c r="AA79" s="78"/>
      <c r="AB79" s="78"/>
      <c r="AC79" s="78"/>
      <c r="AD79" s="78"/>
      <c r="AE79" s="78"/>
      <c r="AF79" s="78"/>
      <c r="AG79" s="78"/>
      <c r="AH79" s="78"/>
      <c r="AI79" s="78"/>
      <c r="AJ79" s="78"/>
      <c r="AK79" s="79"/>
      <c r="AL79" s="1"/>
      <c r="AM79" s="1"/>
      <c r="AN79" s="81" t="s">
        <v>68</v>
      </c>
      <c r="AO79" s="72"/>
      <c r="AP79" s="72"/>
      <c r="AQ79" s="72"/>
      <c r="AR79" s="72"/>
      <c r="AS79" s="72"/>
      <c r="AT79" s="72"/>
      <c r="AU79" s="72"/>
    </row>
    <row r="80" spans="1:47" ht="10.15" customHeight="1">
      <c r="A80" s="1"/>
      <c r="B80" s="1"/>
      <c r="C80" s="1"/>
      <c r="D80" s="1"/>
      <c r="E80" s="1"/>
      <c r="F80" s="1"/>
      <c r="G80" s="1"/>
      <c r="H80" s="1"/>
      <c r="I80" s="1"/>
      <c r="J80" s="1"/>
      <c r="K80" s="1"/>
      <c r="L80" s="1"/>
      <c r="M80" s="1"/>
      <c r="N80" s="1"/>
      <c r="O80" s="1"/>
      <c r="P80" s="1"/>
      <c r="Q80" s="1"/>
      <c r="R80" s="1"/>
      <c r="S80" s="1"/>
      <c r="T80" s="1"/>
      <c r="U80" s="1"/>
      <c r="V80" s="1"/>
      <c r="W80" s="1"/>
      <c r="X80" s="1"/>
      <c r="Y80" s="1"/>
      <c r="Z80" s="93" t="s">
        <v>69</v>
      </c>
      <c r="AA80" s="94"/>
      <c r="AB80" s="94"/>
      <c r="AC80" s="94"/>
      <c r="AD80" s="94"/>
      <c r="AE80" s="94"/>
      <c r="AF80" s="94"/>
      <c r="AG80" s="94"/>
      <c r="AH80" s="94"/>
      <c r="AI80" s="94"/>
      <c r="AJ80" s="94"/>
      <c r="AK80" s="95"/>
      <c r="AL80" s="1"/>
      <c r="AM80" s="1"/>
      <c r="AN80" s="72"/>
      <c r="AO80" s="72"/>
      <c r="AP80" s="72"/>
      <c r="AQ80" s="72"/>
      <c r="AR80" s="72"/>
      <c r="AS80" s="72"/>
      <c r="AT80" s="72"/>
      <c r="AU80" s="72"/>
    </row>
    <row r="81" spans="1:47" ht="10.9" customHeight="1">
      <c r="A81" s="1"/>
      <c r="B81" s="1"/>
      <c r="C81" s="1"/>
      <c r="D81" s="1"/>
      <c r="E81" s="1"/>
      <c r="F81" s="1"/>
      <c r="G81" s="1"/>
      <c r="H81" s="1"/>
      <c r="I81" s="1"/>
      <c r="J81" s="1"/>
      <c r="K81" s="1"/>
      <c r="L81" s="1"/>
      <c r="M81" s="1"/>
      <c r="N81" s="1"/>
      <c r="O81" s="1"/>
      <c r="P81" s="1"/>
      <c r="Q81" s="1"/>
      <c r="R81" s="1"/>
      <c r="S81" s="1"/>
      <c r="T81" s="1"/>
      <c r="U81" s="1"/>
      <c r="V81" s="1"/>
      <c r="W81" s="1"/>
      <c r="X81" s="1"/>
      <c r="Y81" s="1"/>
      <c r="Z81" s="96"/>
      <c r="AA81" s="97"/>
      <c r="AB81" s="97"/>
      <c r="AC81" s="97"/>
      <c r="AD81" s="97"/>
      <c r="AE81" s="97"/>
      <c r="AF81" s="97"/>
      <c r="AG81" s="97"/>
      <c r="AH81" s="97"/>
      <c r="AI81" s="97"/>
      <c r="AJ81" s="97"/>
      <c r="AK81" s="98"/>
      <c r="AL81" s="1"/>
      <c r="AM81" s="85" t="s">
        <v>70</v>
      </c>
      <c r="AN81" s="72"/>
      <c r="AO81" s="72"/>
      <c r="AP81" s="72"/>
      <c r="AQ81" s="72"/>
      <c r="AR81" s="72"/>
      <c r="AS81" s="72"/>
      <c r="AT81" s="72"/>
      <c r="AU81" s="72"/>
    </row>
    <row r="82" spans="1:47" ht="9"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72"/>
      <c r="AN82" s="72"/>
      <c r="AO82" s="72"/>
      <c r="AP82" s="72"/>
      <c r="AQ82" s="72"/>
      <c r="AR82" s="72"/>
      <c r="AS82" s="72"/>
      <c r="AT82" s="72"/>
      <c r="AU82" s="72"/>
    </row>
    <row r="83" spans="1:47" ht="22.9" customHeight="1" thickBot="1">
      <c r="A83" s="1"/>
      <c r="B83" s="1"/>
      <c r="C83" s="1"/>
      <c r="D83" s="1"/>
      <c r="E83" s="1"/>
      <c r="F83" s="1"/>
      <c r="G83" s="1"/>
      <c r="H83" s="1"/>
      <c r="I83" s="1"/>
      <c r="J83" s="1"/>
      <c r="K83" s="1"/>
      <c r="L83" s="1"/>
      <c r="M83" s="1"/>
      <c r="N83" s="1"/>
      <c r="O83" s="1"/>
      <c r="P83" s="1"/>
      <c r="Q83" s="1"/>
      <c r="R83" s="1"/>
      <c r="S83" s="1"/>
      <c r="T83" s="1"/>
      <c r="U83" s="1"/>
      <c r="V83" s="1"/>
      <c r="W83" s="1"/>
      <c r="X83" s="1"/>
      <c r="Y83" s="1"/>
      <c r="Z83" s="53"/>
      <c r="AA83" s="64" t="s">
        <v>130</v>
      </c>
      <c r="AB83" s="64"/>
      <c r="AC83" s="64"/>
      <c r="AD83" s="64"/>
      <c r="AE83" s="64"/>
      <c r="AF83" s="64"/>
      <c r="AG83" s="64"/>
      <c r="AH83" s="64"/>
      <c r="AI83" s="64"/>
      <c r="AJ83" s="64"/>
      <c r="AK83" s="53"/>
      <c r="AL83" s="1"/>
      <c r="AM83" s="1"/>
      <c r="AN83" s="65" t="s">
        <v>128</v>
      </c>
      <c r="AO83" s="65"/>
      <c r="AP83" s="65"/>
      <c r="AQ83" s="65"/>
      <c r="AR83" s="65"/>
      <c r="AS83" s="65"/>
      <c r="AT83" s="65"/>
      <c r="AU83" s="1"/>
    </row>
    <row r="84" spans="1:47" ht="10.15" customHeight="1">
      <c r="A84" s="1"/>
      <c r="B84" s="1"/>
      <c r="C84" s="1"/>
      <c r="D84" s="1"/>
      <c r="E84" s="1"/>
      <c r="F84" s="1"/>
      <c r="G84" s="1"/>
      <c r="H84" s="1"/>
      <c r="I84" s="1"/>
      <c r="J84" s="1"/>
      <c r="K84" s="1"/>
      <c r="L84" s="1"/>
      <c r="M84" s="1"/>
      <c r="N84" s="1"/>
      <c r="O84" s="1"/>
      <c r="P84" s="1"/>
      <c r="Q84" s="1"/>
      <c r="R84" s="1"/>
      <c r="S84" s="1"/>
      <c r="T84" s="1"/>
      <c r="U84" s="1"/>
      <c r="V84" s="1"/>
      <c r="W84" s="1"/>
      <c r="X84" s="1"/>
      <c r="Y84" s="1"/>
      <c r="Z84" s="80" t="s">
        <v>71</v>
      </c>
      <c r="AA84" s="80"/>
      <c r="AB84" s="80"/>
      <c r="AC84" s="80"/>
      <c r="AD84" s="80"/>
      <c r="AE84" s="80"/>
      <c r="AF84" s="80"/>
      <c r="AG84" s="80"/>
      <c r="AH84" s="80"/>
      <c r="AI84" s="80"/>
      <c r="AJ84" s="80"/>
      <c r="AK84" s="80"/>
      <c r="AL84" s="1"/>
      <c r="AM84" s="1"/>
      <c r="AN84" s="81" t="s">
        <v>72</v>
      </c>
      <c r="AO84" s="72"/>
      <c r="AP84" s="72"/>
      <c r="AQ84" s="72"/>
      <c r="AR84" s="72"/>
      <c r="AS84" s="72"/>
      <c r="AT84" s="72"/>
      <c r="AU84" s="72"/>
    </row>
  </sheetData>
  <mergeCells count="682">
    <mergeCell ref="A15:B15"/>
    <mergeCell ref="C15:D15"/>
    <mergeCell ref="AM15:AN15"/>
    <mergeCell ref="AO15:AP15"/>
    <mergeCell ref="A1:AU1"/>
    <mergeCell ref="A2:AU2"/>
    <mergeCell ref="A3:D3"/>
    <mergeCell ref="F3:I3"/>
    <mergeCell ref="J3:L3"/>
    <mergeCell ref="M3:R3"/>
    <mergeCell ref="S3:Z3"/>
    <mergeCell ref="AA3:AG3"/>
    <mergeCell ref="A4:D4"/>
    <mergeCell ref="F4:R4"/>
    <mergeCell ref="S4:Z4"/>
    <mergeCell ref="AA4:AG4"/>
    <mergeCell ref="AM4:AU4"/>
    <mergeCell ref="AW4:AY4"/>
    <mergeCell ref="A5:B7"/>
    <mergeCell ref="C5:E7"/>
    <mergeCell ref="F5:AL5"/>
    <mergeCell ref="AM5:AP6"/>
    <mergeCell ref="AQ5:AU7"/>
    <mergeCell ref="AW5:AY6"/>
    <mergeCell ref="F6:G6"/>
    <mergeCell ref="R6:S6"/>
    <mergeCell ref="V6:W6"/>
    <mergeCell ref="X6:Y6"/>
    <mergeCell ref="Z6:AA6"/>
    <mergeCell ref="AG6:AH6"/>
    <mergeCell ref="AI4:AL4"/>
    <mergeCell ref="AK6:AL6"/>
    <mergeCell ref="F7:G7"/>
    <mergeCell ref="L7:M7"/>
    <mergeCell ref="R7:S7"/>
    <mergeCell ref="V7:W7"/>
    <mergeCell ref="X7:Y7"/>
    <mergeCell ref="Z7:AA7"/>
    <mergeCell ref="AG7:AH7"/>
    <mergeCell ref="AK7:AL7"/>
    <mergeCell ref="L6:M6"/>
    <mergeCell ref="AM7:AN7"/>
    <mergeCell ref="AO7:AP7"/>
    <mergeCell ref="A8:B8"/>
    <mergeCell ref="C8:E8"/>
    <mergeCell ref="F8:G8"/>
    <mergeCell ref="L8:M8"/>
    <mergeCell ref="R8:S8"/>
    <mergeCell ref="V8:W8"/>
    <mergeCell ref="X8:Y8"/>
    <mergeCell ref="Z8:AA8"/>
    <mergeCell ref="AG8:AH8"/>
    <mergeCell ref="AK8:AL8"/>
    <mergeCell ref="AM8:AN8"/>
    <mergeCell ref="AO8:AP8"/>
    <mergeCell ref="AQ8:AU8"/>
    <mergeCell ref="A9:B9"/>
    <mergeCell ref="C9:E9"/>
    <mergeCell ref="F9:G9"/>
    <mergeCell ref="L9:M9"/>
    <mergeCell ref="R9:S9"/>
    <mergeCell ref="V9:W9"/>
    <mergeCell ref="X9:Y9"/>
    <mergeCell ref="Z9:AA9"/>
    <mergeCell ref="AG9:AH9"/>
    <mergeCell ref="AK9:AL9"/>
    <mergeCell ref="AM9:AN9"/>
    <mergeCell ref="AO9:AP9"/>
    <mergeCell ref="AQ9:AU9"/>
    <mergeCell ref="A10:B10"/>
    <mergeCell ref="C10:E10"/>
    <mergeCell ref="F10:G10"/>
    <mergeCell ref="L10:M10"/>
    <mergeCell ref="R10:S10"/>
    <mergeCell ref="V10:W10"/>
    <mergeCell ref="X10:Y10"/>
    <mergeCell ref="Z10:AA10"/>
    <mergeCell ref="AG10:AH10"/>
    <mergeCell ref="AK10:AL10"/>
    <mergeCell ref="AM10:AN10"/>
    <mergeCell ref="AO10:AP10"/>
    <mergeCell ref="AQ10:AU10"/>
    <mergeCell ref="A11:B11"/>
    <mergeCell ref="C11:E11"/>
    <mergeCell ref="F11:G11"/>
    <mergeCell ref="L11:M11"/>
    <mergeCell ref="R11:S11"/>
    <mergeCell ref="V11:W11"/>
    <mergeCell ref="X11:Y11"/>
    <mergeCell ref="Z11:AA11"/>
    <mergeCell ref="AG11:AH11"/>
    <mergeCell ref="AK11:AL11"/>
    <mergeCell ref="AM11:AN11"/>
    <mergeCell ref="AO11:AP11"/>
    <mergeCell ref="AQ11:AU11"/>
    <mergeCell ref="A12:B12"/>
    <mergeCell ref="C12:E12"/>
    <mergeCell ref="F12:G12"/>
    <mergeCell ref="L12:M12"/>
    <mergeCell ref="R12:S12"/>
    <mergeCell ref="V12:W12"/>
    <mergeCell ref="X12:Y12"/>
    <mergeCell ref="Z12:AA12"/>
    <mergeCell ref="AG12:AH12"/>
    <mergeCell ref="AK12:AL12"/>
    <mergeCell ref="AM12:AN12"/>
    <mergeCell ref="AO12:AP12"/>
    <mergeCell ref="AQ12:AU12"/>
    <mergeCell ref="A13:B13"/>
    <mergeCell ref="C13:E13"/>
    <mergeCell ref="F13:G13"/>
    <mergeCell ref="L13:M13"/>
    <mergeCell ref="R13:S13"/>
    <mergeCell ref="V13:W13"/>
    <mergeCell ref="X13:Y13"/>
    <mergeCell ref="Z13:AA13"/>
    <mergeCell ref="AG13:AH13"/>
    <mergeCell ref="AK13:AL13"/>
    <mergeCell ref="AM13:AN13"/>
    <mergeCell ref="AO13:AP13"/>
    <mergeCell ref="AQ13:AU13"/>
    <mergeCell ref="A14:B14"/>
    <mergeCell ref="C14:E14"/>
    <mergeCell ref="F14:G14"/>
    <mergeCell ref="L14:M14"/>
    <mergeCell ref="R14:S14"/>
    <mergeCell ref="V14:W14"/>
    <mergeCell ref="X14:Y14"/>
    <mergeCell ref="Z14:AA14"/>
    <mergeCell ref="AG14:AH14"/>
    <mergeCell ref="AK14:AL14"/>
    <mergeCell ref="AM14:AN14"/>
    <mergeCell ref="AO14:AP14"/>
    <mergeCell ref="AQ14:AU14"/>
    <mergeCell ref="A16:B16"/>
    <mergeCell ref="C16:E16"/>
    <mergeCell ref="F16:G16"/>
    <mergeCell ref="L16:M16"/>
    <mergeCell ref="R16:S16"/>
    <mergeCell ref="V16:W16"/>
    <mergeCell ref="X16:Y16"/>
    <mergeCell ref="Z16:AA16"/>
    <mergeCell ref="AG16:AH16"/>
    <mergeCell ref="AK16:AL16"/>
    <mergeCell ref="AM16:AN16"/>
    <mergeCell ref="AO16:AP16"/>
    <mergeCell ref="AQ16:AU16"/>
    <mergeCell ref="A17:B17"/>
    <mergeCell ref="C17:E17"/>
    <mergeCell ref="F17:G17"/>
    <mergeCell ref="L17:M17"/>
    <mergeCell ref="R17:S17"/>
    <mergeCell ref="V17:W17"/>
    <mergeCell ref="X17:Y17"/>
    <mergeCell ref="Z17:AA17"/>
    <mergeCell ref="AG17:AH17"/>
    <mergeCell ref="AK17:AL17"/>
    <mergeCell ref="AM17:AN17"/>
    <mergeCell ref="AO17:AP17"/>
    <mergeCell ref="AQ17:AU17"/>
    <mergeCell ref="A18:B18"/>
    <mergeCell ref="C18:E18"/>
    <mergeCell ref="F18:G18"/>
    <mergeCell ref="L18:M18"/>
    <mergeCell ref="R18:S18"/>
    <mergeCell ref="V18:W18"/>
    <mergeCell ref="X18:Y18"/>
    <mergeCell ref="Z18:AA18"/>
    <mergeCell ref="AG18:AH18"/>
    <mergeCell ref="AK18:AL18"/>
    <mergeCell ref="AM18:AN18"/>
    <mergeCell ref="AO18:AP18"/>
    <mergeCell ref="AQ18:AU18"/>
    <mergeCell ref="A19:B19"/>
    <mergeCell ref="C19:E19"/>
    <mergeCell ref="F19:G19"/>
    <mergeCell ref="L19:M19"/>
    <mergeCell ref="R19:S19"/>
    <mergeCell ref="V19:W19"/>
    <mergeCell ref="X19:Y19"/>
    <mergeCell ref="Z19:AA19"/>
    <mergeCell ref="AG19:AH19"/>
    <mergeCell ref="AK19:AL19"/>
    <mergeCell ref="AM19:AN19"/>
    <mergeCell ref="AO19:AP19"/>
    <mergeCell ref="AQ19:AU19"/>
    <mergeCell ref="A20:B20"/>
    <mergeCell ref="C20:E20"/>
    <mergeCell ref="F20:G20"/>
    <mergeCell ref="L20:M20"/>
    <mergeCell ref="R20:S20"/>
    <mergeCell ref="V20:W20"/>
    <mergeCell ref="X20:Y20"/>
    <mergeCell ref="Z20:AA20"/>
    <mergeCell ref="AG20:AH20"/>
    <mergeCell ref="AK20:AL20"/>
    <mergeCell ref="AM20:AN20"/>
    <mergeCell ref="AO20:AP20"/>
    <mergeCell ref="AQ20:AU20"/>
    <mergeCell ref="A21:B21"/>
    <mergeCell ref="C21:E21"/>
    <mergeCell ref="F21:G21"/>
    <mergeCell ref="L21:M21"/>
    <mergeCell ref="R21:S21"/>
    <mergeCell ref="V21:W21"/>
    <mergeCell ref="X21:Y21"/>
    <mergeCell ref="Z21:AA21"/>
    <mergeCell ref="AG21:AH21"/>
    <mergeCell ref="AK21:AL21"/>
    <mergeCell ref="AM21:AN21"/>
    <mergeCell ref="AO21:AP21"/>
    <mergeCell ref="AQ21:AU21"/>
    <mergeCell ref="A22:B22"/>
    <mergeCell ref="C22:E22"/>
    <mergeCell ref="F22:G22"/>
    <mergeCell ref="L22:M22"/>
    <mergeCell ref="R22:S22"/>
    <mergeCell ref="V22:W22"/>
    <mergeCell ref="X22:Y22"/>
    <mergeCell ref="Z22:AA22"/>
    <mergeCell ref="AG22:AH22"/>
    <mergeCell ref="AK22:AL22"/>
    <mergeCell ref="AM22:AN22"/>
    <mergeCell ref="AO22:AP22"/>
    <mergeCell ref="AQ22:AU22"/>
    <mergeCell ref="A23:B23"/>
    <mergeCell ref="C23:E23"/>
    <mergeCell ref="F23:G23"/>
    <mergeCell ref="L23:M23"/>
    <mergeCell ref="R23:S23"/>
    <mergeCell ref="V23:W23"/>
    <mergeCell ref="X23:Y23"/>
    <mergeCell ref="Z23:AA23"/>
    <mergeCell ref="AG23:AH23"/>
    <mergeCell ref="AK23:AL23"/>
    <mergeCell ref="AM23:AN23"/>
    <mergeCell ref="AO23:AP23"/>
    <mergeCell ref="AQ23:AU23"/>
    <mergeCell ref="A24:B24"/>
    <mergeCell ref="C24:E24"/>
    <mergeCell ref="F24:G24"/>
    <mergeCell ref="L24:M24"/>
    <mergeCell ref="R24:S24"/>
    <mergeCell ref="V24:W24"/>
    <mergeCell ref="X24:Y24"/>
    <mergeCell ref="Z24:AA24"/>
    <mergeCell ref="AG24:AH24"/>
    <mergeCell ref="AK24:AL24"/>
    <mergeCell ref="AM24:AN24"/>
    <mergeCell ref="AO24:AP24"/>
    <mergeCell ref="AQ24:AU24"/>
    <mergeCell ref="A25:B25"/>
    <mergeCell ref="C25:E25"/>
    <mergeCell ref="F25:G25"/>
    <mergeCell ref="L25:M25"/>
    <mergeCell ref="R25:S25"/>
    <mergeCell ref="V25:W25"/>
    <mergeCell ref="X25:Y25"/>
    <mergeCell ref="Z25:AA25"/>
    <mergeCell ref="AG25:AH25"/>
    <mergeCell ref="AK25:AL25"/>
    <mergeCell ref="AM25:AN25"/>
    <mergeCell ref="AO25:AP25"/>
    <mergeCell ref="AQ25:AU25"/>
    <mergeCell ref="A26:B26"/>
    <mergeCell ref="C26:E26"/>
    <mergeCell ref="F26:G26"/>
    <mergeCell ref="L26:M26"/>
    <mergeCell ref="R26:S26"/>
    <mergeCell ref="V26:W26"/>
    <mergeCell ref="X26:Y26"/>
    <mergeCell ref="Z26:AA26"/>
    <mergeCell ref="AG26:AH26"/>
    <mergeCell ref="AK26:AL26"/>
    <mergeCell ref="AM26:AN26"/>
    <mergeCell ref="AO26:AP26"/>
    <mergeCell ref="AQ26:AU26"/>
    <mergeCell ref="A27:B27"/>
    <mergeCell ref="C27:D27"/>
    <mergeCell ref="F27:G27"/>
    <mergeCell ref="L27:M27"/>
    <mergeCell ref="R27:S27"/>
    <mergeCell ref="V27:W27"/>
    <mergeCell ref="X27:Y27"/>
    <mergeCell ref="Z27:AA27"/>
    <mergeCell ref="AG27:AH27"/>
    <mergeCell ref="AK27:AL27"/>
    <mergeCell ref="AM27:AN27"/>
    <mergeCell ref="AO27:AP27"/>
    <mergeCell ref="AQ27:AT27"/>
    <mergeCell ref="A28:B28"/>
    <mergeCell ref="C28:E28"/>
    <mergeCell ref="F28:G28"/>
    <mergeCell ref="L28:M28"/>
    <mergeCell ref="R28:S28"/>
    <mergeCell ref="V28:W28"/>
    <mergeCell ref="X28:Y28"/>
    <mergeCell ref="Z28:AA28"/>
    <mergeCell ref="AG28:AH28"/>
    <mergeCell ref="AK28:AL28"/>
    <mergeCell ref="AM28:AN28"/>
    <mergeCell ref="AO28:AP28"/>
    <mergeCell ref="AQ28:AU28"/>
    <mergeCell ref="A29:B29"/>
    <mergeCell ref="C29:E29"/>
    <mergeCell ref="F29:G29"/>
    <mergeCell ref="L29:M29"/>
    <mergeCell ref="R29:S29"/>
    <mergeCell ref="V29:W29"/>
    <mergeCell ref="X29:Y29"/>
    <mergeCell ref="Z29:AA29"/>
    <mergeCell ref="AG29:AH29"/>
    <mergeCell ref="AK29:AL29"/>
    <mergeCell ref="AM29:AN29"/>
    <mergeCell ref="AO29:AP29"/>
    <mergeCell ref="AQ29:AU29"/>
    <mergeCell ref="AW29:AY29"/>
    <mergeCell ref="A30:B30"/>
    <mergeCell ref="C30:E30"/>
    <mergeCell ref="F30:G30"/>
    <mergeCell ref="R30:S30"/>
    <mergeCell ref="V30:W30"/>
    <mergeCell ref="X30:Y30"/>
    <mergeCell ref="Z30:AA30"/>
    <mergeCell ref="AG30:AH30"/>
    <mergeCell ref="AK30:AL30"/>
    <mergeCell ref="AM30:AN30"/>
    <mergeCell ref="AO30:AP30"/>
    <mergeCell ref="AQ30:AU30"/>
    <mergeCell ref="A31:B31"/>
    <mergeCell ref="C31:E31"/>
    <mergeCell ref="F31:G31"/>
    <mergeCell ref="L31:M31"/>
    <mergeCell ref="R31:S31"/>
    <mergeCell ref="V31:W31"/>
    <mergeCell ref="X31:Y31"/>
    <mergeCell ref="Z31:AA31"/>
    <mergeCell ref="AG31:AH31"/>
    <mergeCell ref="AK31:AL31"/>
    <mergeCell ref="AM31:AN31"/>
    <mergeCell ref="AO31:AP31"/>
    <mergeCell ref="AQ31:AU31"/>
    <mergeCell ref="A32:B32"/>
    <mergeCell ref="C32:E32"/>
    <mergeCell ref="F32:G32"/>
    <mergeCell ref="L32:M32"/>
    <mergeCell ref="R32:S32"/>
    <mergeCell ref="V32:W32"/>
    <mergeCell ref="X32:Y32"/>
    <mergeCell ref="Z32:AA32"/>
    <mergeCell ref="AG32:AH32"/>
    <mergeCell ref="AK32:AL32"/>
    <mergeCell ref="AM32:AN32"/>
    <mergeCell ref="AO32:AP32"/>
    <mergeCell ref="AQ32:AU32"/>
    <mergeCell ref="A33:B33"/>
    <mergeCell ref="C33:E33"/>
    <mergeCell ref="F33:G33"/>
    <mergeCell ref="L33:M33"/>
    <mergeCell ref="R33:S33"/>
    <mergeCell ref="V33:W33"/>
    <mergeCell ref="X33:Y33"/>
    <mergeCell ref="Z33:AA33"/>
    <mergeCell ref="AG33:AH33"/>
    <mergeCell ref="AK33:AL33"/>
    <mergeCell ref="AM33:AN33"/>
    <mergeCell ref="AO33:AP33"/>
    <mergeCell ref="AQ33:AU33"/>
    <mergeCell ref="A34:B34"/>
    <mergeCell ref="C34:E34"/>
    <mergeCell ref="F34:G34"/>
    <mergeCell ref="L34:M34"/>
    <mergeCell ref="R34:S34"/>
    <mergeCell ref="V34:W34"/>
    <mergeCell ref="X34:Y34"/>
    <mergeCell ref="Z34:AA34"/>
    <mergeCell ref="AG34:AH34"/>
    <mergeCell ref="AK34:AL34"/>
    <mergeCell ref="AM34:AN34"/>
    <mergeCell ref="AO34:AP34"/>
    <mergeCell ref="AQ34:AU34"/>
    <mergeCell ref="A35:B35"/>
    <mergeCell ref="C35:E35"/>
    <mergeCell ref="F35:G35"/>
    <mergeCell ref="L35:M35"/>
    <mergeCell ref="R35:S35"/>
    <mergeCell ref="V35:W35"/>
    <mergeCell ref="X35:Y35"/>
    <mergeCell ref="Z35:AA35"/>
    <mergeCell ref="AG35:AH35"/>
    <mergeCell ref="AK35:AL35"/>
    <mergeCell ref="AM35:AN35"/>
    <mergeCell ref="AO35:AP35"/>
    <mergeCell ref="AQ35:AU35"/>
    <mergeCell ref="A36:B36"/>
    <mergeCell ref="C36:E36"/>
    <mergeCell ref="F36:G36"/>
    <mergeCell ref="L36:M36"/>
    <mergeCell ref="R36:S36"/>
    <mergeCell ref="V36:W36"/>
    <mergeCell ref="X36:Y36"/>
    <mergeCell ref="Z36:AA36"/>
    <mergeCell ref="AG36:AH36"/>
    <mergeCell ref="AK36:AL36"/>
    <mergeCell ref="AM36:AN36"/>
    <mergeCell ref="AO36:AP36"/>
    <mergeCell ref="AQ36:AU36"/>
    <mergeCell ref="A37:B37"/>
    <mergeCell ref="C37:E37"/>
    <mergeCell ref="F37:G37"/>
    <mergeCell ref="L37:M37"/>
    <mergeCell ref="R37:S37"/>
    <mergeCell ref="V37:W37"/>
    <mergeCell ref="X37:Y37"/>
    <mergeCell ref="Z37:AA37"/>
    <mergeCell ref="AG37:AH37"/>
    <mergeCell ref="AK37:AL37"/>
    <mergeCell ref="AM37:AN37"/>
    <mergeCell ref="AO37:AP37"/>
    <mergeCell ref="AQ37:AU37"/>
    <mergeCell ref="A38:B38"/>
    <mergeCell ref="C38:E38"/>
    <mergeCell ref="F38:G38"/>
    <mergeCell ref="L38:M38"/>
    <mergeCell ref="R38:S38"/>
    <mergeCell ref="V38:W38"/>
    <mergeCell ref="X38:Y38"/>
    <mergeCell ref="Z38:AA38"/>
    <mergeCell ref="AG38:AH38"/>
    <mergeCell ref="AK38:AL38"/>
    <mergeCell ref="AM38:AN38"/>
    <mergeCell ref="AO38:AP38"/>
    <mergeCell ref="AQ38:AU38"/>
    <mergeCell ref="A39:B39"/>
    <mergeCell ref="C39:E39"/>
    <mergeCell ref="F39:G39"/>
    <mergeCell ref="L39:M39"/>
    <mergeCell ref="R39:S39"/>
    <mergeCell ref="V39:W39"/>
    <mergeCell ref="X39:Y39"/>
    <mergeCell ref="Z39:AA39"/>
    <mergeCell ref="AG39:AH39"/>
    <mergeCell ref="AK39:AL39"/>
    <mergeCell ref="AM39:AN39"/>
    <mergeCell ref="AO39:AP39"/>
    <mergeCell ref="AQ39:AU39"/>
    <mergeCell ref="A40:B40"/>
    <mergeCell ref="C40:E40"/>
    <mergeCell ref="F40:G40"/>
    <mergeCell ref="L40:M40"/>
    <mergeCell ref="R40:S40"/>
    <mergeCell ref="V40:W40"/>
    <mergeCell ref="X40:Y40"/>
    <mergeCell ref="Z40:AA40"/>
    <mergeCell ref="AG40:AH40"/>
    <mergeCell ref="AK40:AL40"/>
    <mergeCell ref="AM40:AN40"/>
    <mergeCell ref="AO40:AP40"/>
    <mergeCell ref="AQ40:AU40"/>
    <mergeCell ref="A41:B41"/>
    <mergeCell ref="C41:E41"/>
    <mergeCell ref="F41:G41"/>
    <mergeCell ref="L41:M41"/>
    <mergeCell ref="R41:S41"/>
    <mergeCell ref="V41:W41"/>
    <mergeCell ref="X41:Y41"/>
    <mergeCell ref="Z41:AA41"/>
    <mergeCell ref="AG41:AH41"/>
    <mergeCell ref="AK41:AL41"/>
    <mergeCell ref="AM41:AN41"/>
    <mergeCell ref="AO41:AP41"/>
    <mergeCell ref="AQ41:AU41"/>
    <mergeCell ref="A42:B42"/>
    <mergeCell ref="C42:E42"/>
    <mergeCell ref="F42:G42"/>
    <mergeCell ref="L42:M42"/>
    <mergeCell ref="R42:S42"/>
    <mergeCell ref="V42:W42"/>
    <mergeCell ref="X42:Y42"/>
    <mergeCell ref="Z42:AA42"/>
    <mergeCell ref="AG42:AH42"/>
    <mergeCell ref="AK42:AL42"/>
    <mergeCell ref="AM42:AN42"/>
    <mergeCell ref="AO42:AP42"/>
    <mergeCell ref="AQ42:AU42"/>
    <mergeCell ref="A43:B43"/>
    <mergeCell ref="C43:E43"/>
    <mergeCell ref="F43:G43"/>
    <mergeCell ref="L43:M43"/>
    <mergeCell ref="R43:S43"/>
    <mergeCell ref="V43:W43"/>
    <mergeCell ref="X43:Y43"/>
    <mergeCell ref="Z43:AA43"/>
    <mergeCell ref="AG43:AH43"/>
    <mergeCell ref="AK43:AL43"/>
    <mergeCell ref="AM43:AN43"/>
    <mergeCell ref="AO43:AP43"/>
    <mergeCell ref="AQ43:AU43"/>
    <mergeCell ref="A44:B44"/>
    <mergeCell ref="C44:E44"/>
    <mergeCell ref="F44:G44"/>
    <mergeCell ref="L44:M44"/>
    <mergeCell ref="R44:S44"/>
    <mergeCell ref="V44:W44"/>
    <mergeCell ref="X44:Y44"/>
    <mergeCell ref="Z44:AA44"/>
    <mergeCell ref="AG44:AH44"/>
    <mergeCell ref="AK44:AL44"/>
    <mergeCell ref="AM44:AN44"/>
    <mergeCell ref="AO44:AP44"/>
    <mergeCell ref="AQ44:AU44"/>
    <mergeCell ref="A45:B45"/>
    <mergeCell ref="C45:E45"/>
    <mergeCell ref="F45:G45"/>
    <mergeCell ref="L45:M45"/>
    <mergeCell ref="R45:S45"/>
    <mergeCell ref="V45:W45"/>
    <mergeCell ref="X45:Y45"/>
    <mergeCell ref="Z45:AA45"/>
    <mergeCell ref="AG45:AH45"/>
    <mergeCell ref="AK45:AL45"/>
    <mergeCell ref="AM45:AN45"/>
    <mergeCell ref="AO45:AP45"/>
    <mergeCell ref="AQ45:AU45"/>
    <mergeCell ref="A46:B46"/>
    <mergeCell ref="C46:E46"/>
    <mergeCell ref="F46:G46"/>
    <mergeCell ref="L46:M46"/>
    <mergeCell ref="R46:S46"/>
    <mergeCell ref="V46:W46"/>
    <mergeCell ref="X46:Y46"/>
    <mergeCell ref="Z46:AA46"/>
    <mergeCell ref="AG46:AH46"/>
    <mergeCell ref="AK46:AL46"/>
    <mergeCell ref="AM46:AN46"/>
    <mergeCell ref="AO46:AP46"/>
    <mergeCell ref="AQ46:AU46"/>
    <mergeCell ref="A47:B47"/>
    <mergeCell ref="C47:E47"/>
    <mergeCell ref="F47:G47"/>
    <mergeCell ref="L47:M47"/>
    <mergeCell ref="R47:S47"/>
    <mergeCell ref="V47:W47"/>
    <mergeCell ref="X47:Y47"/>
    <mergeCell ref="Z47:AA47"/>
    <mergeCell ref="AG47:AH47"/>
    <mergeCell ref="AK47:AL47"/>
    <mergeCell ref="AM47:AN47"/>
    <mergeCell ref="AO47:AP47"/>
    <mergeCell ref="AQ47:AU47"/>
    <mergeCell ref="A48:B48"/>
    <mergeCell ref="C48:E48"/>
    <mergeCell ref="F48:G48"/>
    <mergeCell ref="L48:M48"/>
    <mergeCell ref="R48:S48"/>
    <mergeCell ref="V48:W48"/>
    <mergeCell ref="X48:Y48"/>
    <mergeCell ref="Z48:AA48"/>
    <mergeCell ref="AG48:AH48"/>
    <mergeCell ref="AK48:AL48"/>
    <mergeCell ref="AM48:AN48"/>
    <mergeCell ref="AO48:AP48"/>
    <mergeCell ref="AQ48:AU48"/>
    <mergeCell ref="A49:B49"/>
    <mergeCell ref="C49:E49"/>
    <mergeCell ref="F49:G49"/>
    <mergeCell ref="L49:M49"/>
    <mergeCell ref="R49:S49"/>
    <mergeCell ref="V49:W49"/>
    <mergeCell ref="X49:Y49"/>
    <mergeCell ref="Z49:AA49"/>
    <mergeCell ref="AG49:AH49"/>
    <mergeCell ref="AK49:AL49"/>
    <mergeCell ref="AM49:AN49"/>
    <mergeCell ref="AO49:AP49"/>
    <mergeCell ref="AQ49:AU49"/>
    <mergeCell ref="AW49:AY49"/>
    <mergeCell ref="A50:B50"/>
    <mergeCell ref="C50:E50"/>
    <mergeCell ref="F50:G50"/>
    <mergeCell ref="R50:S50"/>
    <mergeCell ref="V50:W50"/>
    <mergeCell ref="X50:Y50"/>
    <mergeCell ref="Z50:AA50"/>
    <mergeCell ref="AK50:AL50"/>
    <mergeCell ref="AM50:AN50"/>
    <mergeCell ref="AO50:AP50"/>
    <mergeCell ref="AQ50:AU50"/>
    <mergeCell ref="A51:B51"/>
    <mergeCell ref="C51:E51"/>
    <mergeCell ref="F51:G51"/>
    <mergeCell ref="L51:M51"/>
    <mergeCell ref="R51:S51"/>
    <mergeCell ref="V51:W51"/>
    <mergeCell ref="X51:Y51"/>
    <mergeCell ref="Z51:AA51"/>
    <mergeCell ref="AG51:AH51"/>
    <mergeCell ref="AK51:AL51"/>
    <mergeCell ref="AM51:AN51"/>
    <mergeCell ref="AO51:AP51"/>
    <mergeCell ref="AQ51:AU51"/>
    <mergeCell ref="A52:X52"/>
    <mergeCell ref="Z52:AK52"/>
    <mergeCell ref="AM52:AO53"/>
    <mergeCell ref="AP52:AQ53"/>
    <mergeCell ref="AR52:AU52"/>
    <mergeCell ref="A53:X56"/>
    <mergeCell ref="Z53:AK54"/>
    <mergeCell ref="AT53:AU53"/>
    <mergeCell ref="AM54:AQ55"/>
    <mergeCell ref="AR54:AR55"/>
    <mergeCell ref="AS54:AS55"/>
    <mergeCell ref="AT54:AU55"/>
    <mergeCell ref="Z55:AK56"/>
    <mergeCell ref="AM56:AO57"/>
    <mergeCell ref="AP56:AQ57"/>
    <mergeCell ref="AR56:AR59"/>
    <mergeCell ref="AS56:AS59"/>
    <mergeCell ref="AT56:AU59"/>
    <mergeCell ref="B57:F59"/>
    <mergeCell ref="G57:S58"/>
    <mergeCell ref="T57:V59"/>
    <mergeCell ref="Z57:AK58"/>
    <mergeCell ref="AM58:AQ59"/>
    <mergeCell ref="G59:S59"/>
    <mergeCell ref="Z59:AK62"/>
    <mergeCell ref="B60:F61"/>
    <mergeCell ref="G60:S60"/>
    <mergeCell ref="AM60:AQ60"/>
    <mergeCell ref="G61:S61"/>
    <mergeCell ref="AM61:AQ61"/>
    <mergeCell ref="B62:F63"/>
    <mergeCell ref="G62:S62"/>
    <mergeCell ref="T62:V63"/>
    <mergeCell ref="AM62:AQ62"/>
    <mergeCell ref="AR64:AR65"/>
    <mergeCell ref="AS64:AS65"/>
    <mergeCell ref="AT64:AU65"/>
    <mergeCell ref="AR60:AR61"/>
    <mergeCell ref="AS60:AS61"/>
    <mergeCell ref="AT60:AU61"/>
    <mergeCell ref="AR62:AR63"/>
    <mergeCell ref="AS68:AS69"/>
    <mergeCell ref="AT68:AU69"/>
    <mergeCell ref="B69:X72"/>
    <mergeCell ref="AS62:AS63"/>
    <mergeCell ref="AT62:AU63"/>
    <mergeCell ref="G63:S63"/>
    <mergeCell ref="Z63:AK63"/>
    <mergeCell ref="AM63:AQ63"/>
    <mergeCell ref="Z64:AK68"/>
    <mergeCell ref="AM64:AQ65"/>
    <mergeCell ref="AR72:AR73"/>
    <mergeCell ref="AS72:AS73"/>
    <mergeCell ref="AT72:AU73"/>
    <mergeCell ref="A65:X68"/>
    <mergeCell ref="AM66:AQ66"/>
    <mergeCell ref="AT66:AU66"/>
    <mergeCell ref="AM67:AQ67"/>
    <mergeCell ref="AT67:AU67"/>
    <mergeCell ref="AM68:AQ69"/>
    <mergeCell ref="AR68:AR69"/>
    <mergeCell ref="AN79:AU80"/>
    <mergeCell ref="Z80:AK81"/>
    <mergeCell ref="AM81:AU82"/>
    <mergeCell ref="Z69:AK70"/>
    <mergeCell ref="AM70:AQ71"/>
    <mergeCell ref="AR70:AR71"/>
    <mergeCell ref="AS70:AS71"/>
    <mergeCell ref="AT70:AU71"/>
    <mergeCell ref="Z71:AK74"/>
    <mergeCell ref="AM72:AQ73"/>
    <mergeCell ref="AA83:AJ83"/>
    <mergeCell ref="AN83:AT83"/>
    <mergeCell ref="Z84:AK84"/>
    <mergeCell ref="AN84:AU84"/>
    <mergeCell ref="Z75:AK75"/>
    <mergeCell ref="AM75:AU76"/>
    <mergeCell ref="Z76:AK77"/>
    <mergeCell ref="AN77:AU78"/>
    <mergeCell ref="Z78:AK78"/>
    <mergeCell ref="Z79:AK79"/>
  </mergeCells>
  <pageMargins left="0.27777777777777779" right="0.27777777777777779" top="0.27777777777777779" bottom="0.27777777777777779" header="0" footer="0"/>
  <pageSetup paperSize="9" firstPageNumber="0" fitToWidth="0" fitToHeight="0" pageOrder="overThenDown" orientation="landscape"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6ABCA-1E73-4204-8F7D-50B4C80F487E}">
  <sheetPr>
    <tabColor theme="1"/>
  </sheetPr>
  <dimension ref="A1:AY83"/>
  <sheetViews>
    <sheetView zoomScaleNormal="100" workbookViewId="0">
      <selection activeCell="AV58" sqref="AV58"/>
    </sheetView>
  </sheetViews>
  <sheetFormatPr defaultColWidth="8.7109375" defaultRowHeight="12.75"/>
  <cols>
    <col min="1" max="1" width="1.7109375" style="36" bestFit="1" customWidth="1"/>
    <col min="2" max="2" width="1.28515625" style="36" bestFit="1" customWidth="1"/>
    <col min="3" max="3" width="14.140625" style="36" bestFit="1" customWidth="1"/>
    <col min="4" max="4" width="8.7109375" style="36" bestFit="1" customWidth="1"/>
    <col min="5" max="5" width="0.28515625" style="36" bestFit="1" customWidth="1"/>
    <col min="6" max="6" width="0.7109375" style="36" bestFit="1" customWidth="1"/>
    <col min="7" max="7" width="2" style="36" bestFit="1" customWidth="1"/>
    <col min="8" max="8" width="3.42578125" style="36" customWidth="1"/>
    <col min="9" max="9" width="3.140625" style="36" customWidth="1"/>
    <col min="10" max="11" width="3.28515625" style="36" customWidth="1"/>
    <col min="12" max="12" width="2.5703125" style="36" bestFit="1" customWidth="1"/>
    <col min="13" max="13" width="0.28515625" style="36" bestFit="1" customWidth="1"/>
    <col min="14" max="14" width="3.28515625" style="36" customWidth="1"/>
    <col min="15" max="15" width="3.140625" style="36" customWidth="1"/>
    <col min="16" max="16" width="3.28515625" style="36" customWidth="1"/>
    <col min="17" max="17" width="3.140625" style="36" customWidth="1"/>
    <col min="18" max="18" width="0.7109375" style="36" bestFit="1" customWidth="1"/>
    <col min="19" max="19" width="2" style="36" bestFit="1" customWidth="1"/>
    <col min="20" max="21" width="3.28515625" style="36" customWidth="1"/>
    <col min="22" max="22" width="0.7109375" style="36" bestFit="1" customWidth="1"/>
    <col min="23" max="23" width="2.28515625" style="36" bestFit="1" customWidth="1"/>
    <col min="24" max="24" width="1.28515625" style="36" bestFit="1" customWidth="1"/>
    <col min="25" max="26" width="1.7109375" style="36" bestFit="1" customWidth="1"/>
    <col min="27" max="27" width="1.28515625" style="36" bestFit="1" customWidth="1"/>
    <col min="28" max="30" width="3.140625" style="36" customWidth="1"/>
    <col min="31" max="31" width="3.28515625" style="36" bestFit="1" customWidth="1"/>
    <col min="32" max="32" width="3.42578125" style="36" customWidth="1"/>
    <col min="33" max="33" width="2.7109375" style="36" bestFit="1" customWidth="1"/>
    <col min="34" max="34" width="0.28515625" style="36" bestFit="1" customWidth="1"/>
    <col min="35" max="35" width="3" style="36" customWidth="1"/>
    <col min="36" max="36" width="3.140625" style="36" customWidth="1"/>
    <col min="37" max="37" width="1.28515625" style="36" bestFit="1" customWidth="1"/>
    <col min="38" max="39" width="1.7109375" style="36" bestFit="1" customWidth="1"/>
    <col min="40" max="40" width="4.42578125" style="36" customWidth="1"/>
    <col min="41" max="41" width="5" style="36" bestFit="1" customWidth="1"/>
    <col min="42" max="42" width="1.7109375" style="36" bestFit="1" customWidth="1"/>
    <col min="43" max="43" width="8.28515625" style="36" customWidth="1"/>
    <col min="44" max="44" width="5.5703125" style="36" customWidth="1"/>
    <col min="45" max="46" width="5.85546875" style="36" customWidth="1"/>
    <col min="47" max="47" width="0.28515625" style="36" bestFit="1" customWidth="1"/>
    <col min="48" max="16384" width="8.7109375" style="36"/>
  </cols>
  <sheetData>
    <row r="1" spans="1:51" ht="30" customHeight="1">
      <c r="A1" s="291" t="s">
        <v>0</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row>
    <row r="2" spans="1:51" ht="19.899999999999999" customHeight="1">
      <c r="A2" s="292" t="s">
        <v>1</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row>
    <row r="3" spans="1:51" ht="19.899999999999999" customHeight="1" thickBot="1">
      <c r="A3" s="287" t="s">
        <v>2</v>
      </c>
      <c r="B3" s="72"/>
      <c r="C3" s="72"/>
      <c r="D3" s="72"/>
      <c r="E3" s="1"/>
      <c r="F3" s="284">
        <v>132839</v>
      </c>
      <c r="G3" s="285"/>
      <c r="H3" s="285"/>
      <c r="I3" s="286"/>
      <c r="J3" s="287" t="s">
        <v>3</v>
      </c>
      <c r="K3" s="72"/>
      <c r="L3" s="72"/>
      <c r="M3" s="284" t="s">
        <v>79</v>
      </c>
      <c r="N3" s="285"/>
      <c r="O3" s="285"/>
      <c r="P3" s="285"/>
      <c r="Q3" s="285"/>
      <c r="R3" s="286"/>
      <c r="S3" s="287" t="s">
        <v>4</v>
      </c>
      <c r="T3" s="72"/>
      <c r="U3" s="72"/>
      <c r="V3" s="72"/>
      <c r="W3" s="72"/>
      <c r="X3" s="72"/>
      <c r="Y3" s="72"/>
      <c r="Z3" s="72"/>
      <c r="AA3" s="284" t="s">
        <v>84</v>
      </c>
      <c r="AB3" s="285"/>
      <c r="AC3" s="285"/>
      <c r="AD3" s="285"/>
      <c r="AE3" s="285"/>
      <c r="AF3" s="285"/>
      <c r="AG3" s="286"/>
      <c r="AH3" s="1"/>
      <c r="AI3" s="1"/>
      <c r="AJ3" s="1"/>
      <c r="AK3" s="1"/>
      <c r="AL3" s="1"/>
      <c r="AM3" s="1"/>
      <c r="AN3" s="1"/>
      <c r="AO3" s="1"/>
      <c r="AP3" s="1"/>
      <c r="AQ3" s="1"/>
      <c r="AR3" s="1"/>
      <c r="AS3" s="1"/>
      <c r="AT3" s="1"/>
      <c r="AU3" s="1"/>
    </row>
    <row r="4" spans="1:51" ht="19.899999999999999" customHeight="1" thickBot="1">
      <c r="A4" s="287" t="s">
        <v>6</v>
      </c>
      <c r="B4" s="72"/>
      <c r="C4" s="72"/>
      <c r="D4" s="72"/>
      <c r="E4" s="1"/>
      <c r="F4" s="284" t="s">
        <v>123</v>
      </c>
      <c r="G4" s="285"/>
      <c r="H4" s="285"/>
      <c r="I4" s="285"/>
      <c r="J4" s="285"/>
      <c r="K4" s="285"/>
      <c r="L4" s="285"/>
      <c r="M4" s="285"/>
      <c r="N4" s="285"/>
      <c r="O4" s="285"/>
      <c r="P4" s="285"/>
      <c r="Q4" s="285"/>
      <c r="R4" s="286"/>
      <c r="S4" s="287" t="s">
        <v>7</v>
      </c>
      <c r="T4" s="72"/>
      <c r="U4" s="72"/>
      <c r="V4" s="72"/>
      <c r="W4" s="72"/>
      <c r="X4" s="72"/>
      <c r="Y4" s="72"/>
      <c r="Z4" s="72"/>
      <c r="AA4" s="284" t="s">
        <v>124</v>
      </c>
      <c r="AB4" s="285"/>
      <c r="AC4" s="285"/>
      <c r="AD4" s="285"/>
      <c r="AE4" s="285"/>
      <c r="AF4" s="285"/>
      <c r="AG4" s="286"/>
      <c r="AH4" s="1"/>
      <c r="AI4" s="287" t="s">
        <v>8</v>
      </c>
      <c r="AJ4" s="72"/>
      <c r="AK4" s="72"/>
      <c r="AL4" s="72"/>
      <c r="AM4" s="284" t="s">
        <v>129</v>
      </c>
      <c r="AN4" s="285"/>
      <c r="AO4" s="285"/>
      <c r="AP4" s="285"/>
      <c r="AQ4" s="285"/>
      <c r="AR4" s="285"/>
      <c r="AS4" s="285"/>
      <c r="AT4" s="285"/>
      <c r="AU4" s="286"/>
      <c r="AW4" s="288" t="s">
        <v>73</v>
      </c>
      <c r="AX4" s="289"/>
      <c r="AY4" s="290"/>
    </row>
    <row r="5" spans="1:51" ht="10.15" customHeight="1">
      <c r="A5" s="259" t="s">
        <v>9</v>
      </c>
      <c r="B5" s="260"/>
      <c r="C5" s="259" t="s">
        <v>10</v>
      </c>
      <c r="D5" s="265"/>
      <c r="E5" s="260"/>
      <c r="F5" s="267" t="s">
        <v>11</v>
      </c>
      <c r="G5" s="268"/>
      <c r="H5" s="268"/>
      <c r="I5" s="268"/>
      <c r="J5" s="268"/>
      <c r="K5" s="268"/>
      <c r="L5" s="268"/>
      <c r="M5" s="268"/>
      <c r="N5" s="268"/>
      <c r="O5" s="268"/>
      <c r="P5" s="268"/>
      <c r="Q5" s="268"/>
      <c r="R5" s="268"/>
      <c r="S5" s="268"/>
      <c r="T5" s="268"/>
      <c r="U5" s="268"/>
      <c r="V5" s="268"/>
      <c r="W5" s="268"/>
      <c r="X5" s="268"/>
      <c r="Y5" s="268"/>
      <c r="Z5" s="268"/>
      <c r="AA5" s="268"/>
      <c r="AB5" s="268"/>
      <c r="AC5" s="268"/>
      <c r="AD5" s="268"/>
      <c r="AE5" s="268"/>
      <c r="AF5" s="268"/>
      <c r="AG5" s="268"/>
      <c r="AH5" s="268"/>
      <c r="AI5" s="268"/>
      <c r="AJ5" s="268"/>
      <c r="AK5" s="268"/>
      <c r="AL5" s="269"/>
      <c r="AM5" s="270" t="s">
        <v>12</v>
      </c>
      <c r="AN5" s="271"/>
      <c r="AO5" s="271"/>
      <c r="AP5" s="272"/>
      <c r="AQ5" s="276" t="s">
        <v>13</v>
      </c>
      <c r="AR5" s="277"/>
      <c r="AS5" s="277"/>
      <c r="AT5" s="277"/>
      <c r="AU5" s="278"/>
      <c r="AW5" s="281">
        <v>20</v>
      </c>
      <c r="AX5" s="282"/>
      <c r="AY5" s="283"/>
    </row>
    <row r="6" spans="1:51" ht="15" customHeight="1" thickBot="1">
      <c r="A6" s="261"/>
      <c r="B6" s="262"/>
      <c r="C6" s="261"/>
      <c r="D6" s="72"/>
      <c r="E6" s="262"/>
      <c r="F6" s="257"/>
      <c r="G6" s="256"/>
      <c r="H6" s="9"/>
      <c r="I6" s="9"/>
      <c r="J6" s="9"/>
      <c r="K6" s="9">
        <v>1</v>
      </c>
      <c r="L6" s="257">
        <v>4</v>
      </c>
      <c r="M6" s="256"/>
      <c r="N6" s="9">
        <v>5</v>
      </c>
      <c r="O6" s="9">
        <v>6</v>
      </c>
      <c r="P6" s="9">
        <v>7</v>
      </c>
      <c r="Q6" s="9">
        <v>8</v>
      </c>
      <c r="R6" s="257">
        <v>11</v>
      </c>
      <c r="S6" s="256"/>
      <c r="T6" s="9">
        <v>12</v>
      </c>
      <c r="U6" s="9">
        <v>13</v>
      </c>
      <c r="V6" s="255">
        <v>14</v>
      </c>
      <c r="W6" s="256"/>
      <c r="X6" s="255">
        <v>15</v>
      </c>
      <c r="Y6" s="256"/>
      <c r="Z6" s="257">
        <v>18</v>
      </c>
      <c r="AA6" s="256"/>
      <c r="AB6" s="9">
        <v>19</v>
      </c>
      <c r="AC6" s="9">
        <v>20</v>
      </c>
      <c r="AD6" s="9">
        <v>21</v>
      </c>
      <c r="AE6" s="9">
        <v>22</v>
      </c>
      <c r="AF6" s="10">
        <v>25</v>
      </c>
      <c r="AG6" s="255">
        <v>26</v>
      </c>
      <c r="AH6" s="256"/>
      <c r="AI6" s="9">
        <v>27</v>
      </c>
      <c r="AJ6" s="9">
        <v>28</v>
      </c>
      <c r="AK6" s="255">
        <v>29</v>
      </c>
      <c r="AL6" s="256"/>
      <c r="AM6" s="273"/>
      <c r="AN6" s="274"/>
      <c r="AO6" s="274"/>
      <c r="AP6" s="275"/>
      <c r="AQ6" s="87"/>
      <c r="AR6" s="72"/>
      <c r="AS6" s="72"/>
      <c r="AT6" s="72"/>
      <c r="AU6" s="279"/>
      <c r="AW6" s="281"/>
      <c r="AX6" s="282"/>
      <c r="AY6" s="283"/>
    </row>
    <row r="7" spans="1:51" ht="15" customHeight="1" thickBot="1">
      <c r="A7" s="263"/>
      <c r="B7" s="264"/>
      <c r="C7" s="263"/>
      <c r="D7" s="266"/>
      <c r="E7" s="264"/>
      <c r="F7" s="258" t="s">
        <v>14</v>
      </c>
      <c r="G7" s="252"/>
      <c r="H7" s="13" t="s">
        <v>15</v>
      </c>
      <c r="I7" s="13" t="s">
        <v>16</v>
      </c>
      <c r="J7" s="13" t="s">
        <v>17</v>
      </c>
      <c r="K7" s="13" t="s">
        <v>18</v>
      </c>
      <c r="L7" s="258" t="s">
        <v>14</v>
      </c>
      <c r="M7" s="252"/>
      <c r="N7" s="13" t="s">
        <v>15</v>
      </c>
      <c r="O7" s="13" t="s">
        <v>16</v>
      </c>
      <c r="P7" s="13" t="s">
        <v>17</v>
      </c>
      <c r="Q7" s="13" t="s">
        <v>18</v>
      </c>
      <c r="R7" s="258" t="s">
        <v>14</v>
      </c>
      <c r="S7" s="252"/>
      <c r="T7" s="13" t="s">
        <v>15</v>
      </c>
      <c r="U7" s="13" t="s">
        <v>16</v>
      </c>
      <c r="V7" s="251" t="s">
        <v>17</v>
      </c>
      <c r="W7" s="252"/>
      <c r="X7" s="251" t="s">
        <v>18</v>
      </c>
      <c r="Y7" s="252"/>
      <c r="Z7" s="258" t="s">
        <v>14</v>
      </c>
      <c r="AA7" s="252"/>
      <c r="AB7" s="13" t="s">
        <v>15</v>
      </c>
      <c r="AC7" s="13" t="s">
        <v>16</v>
      </c>
      <c r="AD7" s="13" t="s">
        <v>17</v>
      </c>
      <c r="AE7" s="13" t="s">
        <v>18</v>
      </c>
      <c r="AF7" s="14" t="s">
        <v>14</v>
      </c>
      <c r="AG7" s="251" t="s">
        <v>15</v>
      </c>
      <c r="AH7" s="252"/>
      <c r="AI7" s="13" t="s">
        <v>16</v>
      </c>
      <c r="AJ7" s="13" t="s">
        <v>17</v>
      </c>
      <c r="AK7" s="251" t="s">
        <v>18</v>
      </c>
      <c r="AL7" s="252"/>
      <c r="AM7" s="253" t="s">
        <v>19</v>
      </c>
      <c r="AN7" s="254"/>
      <c r="AO7" s="253" t="s">
        <v>20</v>
      </c>
      <c r="AP7" s="254"/>
      <c r="AQ7" s="90"/>
      <c r="AR7" s="91"/>
      <c r="AS7" s="91"/>
      <c r="AT7" s="91"/>
      <c r="AU7" s="280"/>
      <c r="AW7" s="8"/>
      <c r="AY7" s="7"/>
    </row>
    <row r="8" spans="1:51" ht="19.899999999999999" customHeight="1">
      <c r="A8" s="220">
        <v>1</v>
      </c>
      <c r="B8" s="221"/>
      <c r="C8" s="231" t="s">
        <v>97</v>
      </c>
      <c r="D8" s="232"/>
      <c r="E8" s="233"/>
      <c r="F8" s="230"/>
      <c r="G8" s="228"/>
      <c r="H8" s="9"/>
      <c r="I8" s="9"/>
      <c r="J8" s="9"/>
      <c r="K8" s="11"/>
      <c r="L8" s="230"/>
      <c r="M8" s="228"/>
      <c r="N8" s="9"/>
      <c r="O8" s="9"/>
      <c r="P8" s="9"/>
      <c r="Q8" s="11"/>
      <c r="R8" s="230"/>
      <c r="S8" s="228"/>
      <c r="T8" s="49" t="s">
        <v>126</v>
      </c>
      <c r="U8" s="9"/>
      <c r="V8" s="227"/>
      <c r="W8" s="228"/>
      <c r="X8" s="227"/>
      <c r="Y8" s="229"/>
      <c r="Z8" s="230"/>
      <c r="AA8" s="228"/>
      <c r="AB8" s="9"/>
      <c r="AC8" s="9"/>
      <c r="AD8" s="9"/>
      <c r="AE8" s="11"/>
      <c r="AF8" s="10" t="s">
        <v>91</v>
      </c>
      <c r="AG8" s="227"/>
      <c r="AH8" s="228"/>
      <c r="AI8" s="9"/>
      <c r="AJ8" s="49" t="s">
        <v>126</v>
      </c>
      <c r="AK8" s="227" t="s">
        <v>5</v>
      </c>
      <c r="AL8" s="229"/>
      <c r="AM8" s="212">
        <v>2</v>
      </c>
      <c r="AN8" s="213"/>
      <c r="AO8" s="212">
        <f t="shared" ref="AO8:AO28" si="0">$AW$5-AM8</f>
        <v>18</v>
      </c>
      <c r="AP8" s="213"/>
      <c r="AQ8" s="214" t="s">
        <v>5</v>
      </c>
      <c r="AR8" s="215"/>
      <c r="AS8" s="215"/>
      <c r="AT8" s="215"/>
      <c r="AU8" s="216"/>
      <c r="AW8" s="8"/>
      <c r="AY8" s="7"/>
    </row>
    <row r="9" spans="1:51" ht="19.899999999999999" customHeight="1">
      <c r="A9" s="220">
        <v>2</v>
      </c>
      <c r="B9" s="221"/>
      <c r="C9" s="231" t="s">
        <v>98</v>
      </c>
      <c r="D9" s="232"/>
      <c r="E9" s="233"/>
      <c r="F9" s="230"/>
      <c r="G9" s="228"/>
      <c r="H9" s="9"/>
      <c r="I9" s="9"/>
      <c r="J9" s="9"/>
      <c r="K9" s="11"/>
      <c r="L9" s="230"/>
      <c r="M9" s="228"/>
      <c r="N9" s="9"/>
      <c r="O9" s="9"/>
      <c r="P9" s="9"/>
      <c r="Q9" s="11"/>
      <c r="R9" s="230"/>
      <c r="S9" s="228"/>
      <c r="T9" s="9"/>
      <c r="U9" s="9"/>
      <c r="V9" s="227"/>
      <c r="W9" s="228"/>
      <c r="X9" s="227"/>
      <c r="Y9" s="229"/>
      <c r="Z9" s="230"/>
      <c r="AA9" s="228"/>
      <c r="AB9" s="9"/>
      <c r="AC9" s="9"/>
      <c r="AD9" s="9"/>
      <c r="AE9" s="11"/>
      <c r="AF9" s="10"/>
      <c r="AG9" s="227"/>
      <c r="AH9" s="228"/>
      <c r="AI9" s="9"/>
      <c r="AJ9" s="9"/>
      <c r="AK9" s="227" t="s">
        <v>5</v>
      </c>
      <c r="AL9" s="229"/>
      <c r="AM9" s="212">
        <f t="shared" ref="AM9:AM28" si="1">COUNTIF(F9:AL9,"X")</f>
        <v>0</v>
      </c>
      <c r="AN9" s="213"/>
      <c r="AO9" s="212">
        <f t="shared" si="0"/>
        <v>20</v>
      </c>
      <c r="AP9" s="213"/>
      <c r="AQ9" s="214" t="s">
        <v>5</v>
      </c>
      <c r="AR9" s="215"/>
      <c r="AS9" s="215"/>
      <c r="AT9" s="215"/>
      <c r="AU9" s="216"/>
      <c r="AW9" s="8"/>
      <c r="AY9" s="7"/>
    </row>
    <row r="10" spans="1:51" ht="19.899999999999999" customHeight="1">
      <c r="A10" s="220">
        <v>3</v>
      </c>
      <c r="B10" s="221"/>
      <c r="C10" s="231" t="s">
        <v>99</v>
      </c>
      <c r="D10" s="232"/>
      <c r="E10" s="233"/>
      <c r="F10" s="230"/>
      <c r="G10" s="228"/>
      <c r="H10" s="9"/>
      <c r="I10" s="9"/>
      <c r="J10" s="9"/>
      <c r="K10" s="11"/>
      <c r="L10" s="230"/>
      <c r="M10" s="228"/>
      <c r="N10" s="9"/>
      <c r="O10" s="9"/>
      <c r="P10" s="9"/>
      <c r="Q10" s="11"/>
      <c r="R10" s="230"/>
      <c r="S10" s="228"/>
      <c r="T10" s="9"/>
      <c r="U10" s="9"/>
      <c r="V10" s="227"/>
      <c r="W10" s="228"/>
      <c r="X10" s="227"/>
      <c r="Y10" s="229"/>
      <c r="Z10" s="230"/>
      <c r="AA10" s="228"/>
      <c r="AB10" s="9"/>
      <c r="AC10" s="9"/>
      <c r="AD10" s="9"/>
      <c r="AE10" s="11"/>
      <c r="AF10" s="10"/>
      <c r="AG10" s="227"/>
      <c r="AH10" s="228"/>
      <c r="AI10" s="9"/>
      <c r="AJ10" s="49" t="s">
        <v>126</v>
      </c>
      <c r="AK10" s="296" t="s">
        <v>126</v>
      </c>
      <c r="AL10" s="229"/>
      <c r="AM10" s="212">
        <v>2</v>
      </c>
      <c r="AN10" s="213"/>
      <c r="AO10" s="212">
        <f t="shared" si="0"/>
        <v>18</v>
      </c>
      <c r="AP10" s="213"/>
      <c r="AQ10" s="214" t="s">
        <v>5</v>
      </c>
      <c r="AR10" s="215"/>
      <c r="AS10" s="215"/>
      <c r="AT10" s="215"/>
      <c r="AU10" s="216"/>
      <c r="AW10" s="8"/>
      <c r="AY10" s="7"/>
    </row>
    <row r="11" spans="1:51" ht="19.899999999999999" customHeight="1">
      <c r="A11" s="220">
        <v>4</v>
      </c>
      <c r="B11" s="221"/>
      <c r="C11" s="231" t="s">
        <v>100</v>
      </c>
      <c r="D11" s="232"/>
      <c r="E11" s="233"/>
      <c r="F11" s="230"/>
      <c r="G11" s="228"/>
      <c r="H11" s="9"/>
      <c r="I11" s="9"/>
      <c r="J11" s="9"/>
      <c r="K11" s="11"/>
      <c r="L11" s="230"/>
      <c r="M11" s="228"/>
      <c r="N11" s="9"/>
      <c r="O11" s="9"/>
      <c r="P11" s="9"/>
      <c r="Q11" s="11"/>
      <c r="R11" s="230"/>
      <c r="S11" s="228"/>
      <c r="T11" s="9"/>
      <c r="U11" s="9"/>
      <c r="V11" s="227"/>
      <c r="W11" s="228"/>
      <c r="X11" s="227"/>
      <c r="Y11" s="229"/>
      <c r="Z11" s="230"/>
      <c r="AA11" s="228"/>
      <c r="AB11" s="9"/>
      <c r="AC11" s="9"/>
      <c r="AD11" s="9"/>
      <c r="AE11" s="11"/>
      <c r="AF11" s="10" t="s">
        <v>86</v>
      </c>
      <c r="AG11" s="227"/>
      <c r="AH11" s="228"/>
      <c r="AI11" s="9"/>
      <c r="AJ11" s="9"/>
      <c r="AK11" s="227" t="s">
        <v>5</v>
      </c>
      <c r="AL11" s="229"/>
      <c r="AM11" s="212">
        <f t="shared" si="1"/>
        <v>0</v>
      </c>
      <c r="AN11" s="213"/>
      <c r="AO11" s="212">
        <f t="shared" si="0"/>
        <v>20</v>
      </c>
      <c r="AP11" s="213"/>
      <c r="AQ11" s="214" t="s">
        <v>5</v>
      </c>
      <c r="AR11" s="215"/>
      <c r="AS11" s="215"/>
      <c r="AT11" s="215"/>
      <c r="AU11" s="216"/>
      <c r="AW11" s="8"/>
      <c r="AY11" s="7"/>
    </row>
    <row r="12" spans="1:51" ht="19.899999999999999" customHeight="1">
      <c r="A12" s="220">
        <v>5</v>
      </c>
      <c r="B12" s="221"/>
      <c r="C12" s="231" t="s">
        <v>101</v>
      </c>
      <c r="D12" s="232"/>
      <c r="E12" s="233"/>
      <c r="F12" s="230"/>
      <c r="G12" s="228"/>
      <c r="H12" s="9"/>
      <c r="I12" s="9"/>
      <c r="J12" s="9"/>
      <c r="K12" s="11"/>
      <c r="L12" s="230"/>
      <c r="M12" s="228"/>
      <c r="N12" s="9"/>
      <c r="O12" s="9"/>
      <c r="P12" s="9"/>
      <c r="Q12" s="11"/>
      <c r="R12" s="230"/>
      <c r="S12" s="228"/>
      <c r="T12" s="9"/>
      <c r="U12" s="9"/>
      <c r="V12" s="227"/>
      <c r="W12" s="228"/>
      <c r="X12" s="227"/>
      <c r="Y12" s="229"/>
      <c r="Z12" s="230"/>
      <c r="AA12" s="228"/>
      <c r="AB12" s="9"/>
      <c r="AC12" s="9"/>
      <c r="AD12" s="9"/>
      <c r="AE12" s="11"/>
      <c r="AF12" s="10"/>
      <c r="AG12" s="227"/>
      <c r="AH12" s="228"/>
      <c r="AI12" s="9"/>
      <c r="AJ12" s="9"/>
      <c r="AK12" s="227" t="s">
        <v>5</v>
      </c>
      <c r="AL12" s="229"/>
      <c r="AM12" s="212">
        <f t="shared" si="1"/>
        <v>0</v>
      </c>
      <c r="AN12" s="213"/>
      <c r="AO12" s="212">
        <f t="shared" si="0"/>
        <v>20</v>
      </c>
      <c r="AP12" s="213"/>
      <c r="AQ12" s="214" t="s">
        <v>5</v>
      </c>
      <c r="AR12" s="215"/>
      <c r="AS12" s="215"/>
      <c r="AT12" s="215"/>
      <c r="AU12" s="216"/>
      <c r="AW12" s="8"/>
      <c r="AY12" s="7"/>
    </row>
    <row r="13" spans="1:51" ht="19.899999999999999" customHeight="1">
      <c r="A13" s="220">
        <v>6</v>
      </c>
      <c r="B13" s="221"/>
      <c r="C13" s="231" t="s">
        <v>102</v>
      </c>
      <c r="D13" s="232"/>
      <c r="E13" s="233"/>
      <c r="F13" s="230"/>
      <c r="G13" s="228"/>
      <c r="H13" s="9"/>
      <c r="I13" s="9"/>
      <c r="J13" s="9"/>
      <c r="K13" s="11"/>
      <c r="L13" s="230"/>
      <c r="M13" s="228"/>
      <c r="N13" s="9"/>
      <c r="O13" s="9"/>
      <c r="P13" s="9"/>
      <c r="Q13" s="11"/>
      <c r="R13" s="230"/>
      <c r="S13" s="228"/>
      <c r="T13" s="9"/>
      <c r="U13" s="9"/>
      <c r="V13" s="227"/>
      <c r="W13" s="228"/>
      <c r="X13" s="227"/>
      <c r="Y13" s="229"/>
      <c r="Z13" s="230"/>
      <c r="AA13" s="228"/>
      <c r="AB13" s="9"/>
      <c r="AC13" s="9"/>
      <c r="AD13" s="9"/>
      <c r="AE13" s="11"/>
      <c r="AF13" s="10"/>
      <c r="AG13" s="227"/>
      <c r="AH13" s="228"/>
      <c r="AI13" s="9"/>
      <c r="AJ13" s="9"/>
      <c r="AK13" s="227" t="s">
        <v>5</v>
      </c>
      <c r="AL13" s="229"/>
      <c r="AM13" s="212">
        <f t="shared" si="1"/>
        <v>0</v>
      </c>
      <c r="AN13" s="213"/>
      <c r="AO13" s="212">
        <f t="shared" si="0"/>
        <v>20</v>
      </c>
      <c r="AP13" s="213"/>
      <c r="AQ13" s="214" t="s">
        <v>5</v>
      </c>
      <c r="AR13" s="215"/>
      <c r="AS13" s="215"/>
      <c r="AT13" s="215"/>
      <c r="AU13" s="216"/>
      <c r="AW13" s="8"/>
      <c r="AY13" s="7"/>
    </row>
    <row r="14" spans="1:51" ht="19.899999999999999" customHeight="1">
      <c r="A14" s="220">
        <v>7</v>
      </c>
      <c r="B14" s="221"/>
      <c r="C14" s="231" t="s">
        <v>103</v>
      </c>
      <c r="D14" s="232"/>
      <c r="E14" s="233"/>
      <c r="F14" s="230"/>
      <c r="G14" s="228"/>
      <c r="H14" s="9"/>
      <c r="I14" s="9"/>
      <c r="J14" s="9"/>
      <c r="K14" s="11"/>
      <c r="L14" s="230"/>
      <c r="M14" s="228"/>
      <c r="N14" s="9"/>
      <c r="O14" s="9"/>
      <c r="P14" s="9"/>
      <c r="Q14" s="11"/>
      <c r="R14" s="230"/>
      <c r="S14" s="228"/>
      <c r="T14" s="9"/>
      <c r="U14" s="9"/>
      <c r="V14" s="227"/>
      <c r="W14" s="228"/>
      <c r="X14" s="227"/>
      <c r="Y14" s="229"/>
      <c r="Z14" s="230"/>
      <c r="AA14" s="228"/>
      <c r="AB14" s="9"/>
      <c r="AC14" s="9"/>
      <c r="AD14" s="9"/>
      <c r="AE14" s="11"/>
      <c r="AF14" s="10" t="s">
        <v>90</v>
      </c>
      <c r="AG14" s="227"/>
      <c r="AH14" s="228"/>
      <c r="AI14" s="9"/>
      <c r="AJ14" s="9"/>
      <c r="AK14" s="227" t="s">
        <v>5</v>
      </c>
      <c r="AL14" s="229"/>
      <c r="AM14" s="212">
        <f t="shared" si="1"/>
        <v>0</v>
      </c>
      <c r="AN14" s="213"/>
      <c r="AO14" s="212">
        <f t="shared" si="0"/>
        <v>20</v>
      </c>
      <c r="AP14" s="213"/>
      <c r="AQ14" s="214" t="s">
        <v>5</v>
      </c>
      <c r="AR14" s="215"/>
      <c r="AS14" s="215"/>
      <c r="AT14" s="215"/>
      <c r="AU14" s="216"/>
      <c r="AW14" s="8"/>
      <c r="AY14" s="7"/>
    </row>
    <row r="15" spans="1:51" ht="19.899999999999999" customHeight="1">
      <c r="A15" s="220">
        <v>8</v>
      </c>
      <c r="B15" s="221"/>
      <c r="C15" s="231" t="s">
        <v>104</v>
      </c>
      <c r="D15" s="232"/>
      <c r="E15" s="233"/>
      <c r="F15" s="230"/>
      <c r="G15" s="228"/>
      <c r="H15" s="9"/>
      <c r="I15" s="9"/>
      <c r="J15" s="9"/>
      <c r="K15" s="11"/>
      <c r="L15" s="230"/>
      <c r="M15" s="228"/>
      <c r="N15" s="9"/>
      <c r="O15" s="9"/>
      <c r="P15" s="9"/>
      <c r="Q15" s="11"/>
      <c r="R15" s="230"/>
      <c r="S15" s="228"/>
      <c r="T15" s="9"/>
      <c r="U15" s="9"/>
      <c r="V15" s="227"/>
      <c r="W15" s="228"/>
      <c r="X15" s="227"/>
      <c r="Y15" s="229"/>
      <c r="Z15" s="230"/>
      <c r="AA15" s="228"/>
      <c r="AB15" s="9"/>
      <c r="AC15" s="9"/>
      <c r="AD15" s="9"/>
      <c r="AE15" s="11"/>
      <c r="AF15" s="10"/>
      <c r="AG15" s="227"/>
      <c r="AH15" s="228"/>
      <c r="AI15" s="9"/>
      <c r="AJ15" s="9"/>
      <c r="AK15" s="227" t="s">
        <v>5</v>
      </c>
      <c r="AL15" s="229"/>
      <c r="AM15" s="212">
        <f t="shared" si="1"/>
        <v>0</v>
      </c>
      <c r="AN15" s="213"/>
      <c r="AO15" s="212">
        <f t="shared" si="0"/>
        <v>20</v>
      </c>
      <c r="AP15" s="213"/>
      <c r="AQ15" s="214" t="s">
        <v>5</v>
      </c>
      <c r="AR15" s="215"/>
      <c r="AS15" s="215"/>
      <c r="AT15" s="215"/>
      <c r="AU15" s="216"/>
      <c r="AW15" s="8"/>
      <c r="AY15" s="7"/>
    </row>
    <row r="16" spans="1:51" ht="19.899999999999999" customHeight="1">
      <c r="A16" s="220">
        <v>9</v>
      </c>
      <c r="B16" s="221"/>
      <c r="C16" s="231" t="s">
        <v>105</v>
      </c>
      <c r="D16" s="232"/>
      <c r="E16" s="233"/>
      <c r="F16" s="230"/>
      <c r="G16" s="228"/>
      <c r="H16" s="9"/>
      <c r="I16" s="9"/>
      <c r="J16" s="9"/>
      <c r="K16" s="11"/>
      <c r="L16" s="230"/>
      <c r="M16" s="228"/>
      <c r="N16" s="9"/>
      <c r="O16" s="9"/>
      <c r="P16" s="9"/>
      <c r="Q16" s="11"/>
      <c r="R16" s="230"/>
      <c r="S16" s="228"/>
      <c r="T16" s="9"/>
      <c r="U16" s="9"/>
      <c r="V16" s="227"/>
      <c r="W16" s="228"/>
      <c r="X16" s="227"/>
      <c r="Y16" s="229"/>
      <c r="Z16" s="230"/>
      <c r="AA16" s="228"/>
      <c r="AB16" s="9"/>
      <c r="AC16" s="9"/>
      <c r="AD16" s="9"/>
      <c r="AE16" s="11"/>
      <c r="AF16" s="10"/>
      <c r="AG16" s="227"/>
      <c r="AH16" s="228"/>
      <c r="AI16" s="9"/>
      <c r="AJ16" s="9"/>
      <c r="AK16" s="227" t="s">
        <v>5</v>
      </c>
      <c r="AL16" s="229"/>
      <c r="AM16" s="212">
        <f t="shared" si="1"/>
        <v>0</v>
      </c>
      <c r="AN16" s="213"/>
      <c r="AO16" s="212">
        <f t="shared" si="0"/>
        <v>20</v>
      </c>
      <c r="AP16" s="213"/>
      <c r="AQ16" s="214" t="s">
        <v>5</v>
      </c>
      <c r="AR16" s="215"/>
      <c r="AS16" s="215"/>
      <c r="AT16" s="215"/>
      <c r="AU16" s="216"/>
      <c r="AW16" s="8"/>
      <c r="AY16" s="7"/>
    </row>
    <row r="17" spans="1:51" ht="19.899999999999999" customHeight="1">
      <c r="A17" s="220">
        <v>10</v>
      </c>
      <c r="B17" s="221"/>
      <c r="C17" s="231" t="s">
        <v>106</v>
      </c>
      <c r="D17" s="232"/>
      <c r="E17" s="233"/>
      <c r="F17" s="230"/>
      <c r="G17" s="228"/>
      <c r="H17" s="9"/>
      <c r="I17" s="9"/>
      <c r="J17" s="9"/>
      <c r="K17" s="11"/>
      <c r="L17" s="230"/>
      <c r="M17" s="228"/>
      <c r="N17" s="9"/>
      <c r="O17" s="9"/>
      <c r="P17" s="9"/>
      <c r="Q17" s="11"/>
      <c r="R17" s="230"/>
      <c r="S17" s="228"/>
      <c r="T17" s="9"/>
      <c r="U17" s="9"/>
      <c r="V17" s="227"/>
      <c r="W17" s="228"/>
      <c r="X17" s="227"/>
      <c r="Y17" s="229"/>
      <c r="Z17" s="230"/>
      <c r="AA17" s="228"/>
      <c r="AB17" s="9"/>
      <c r="AC17" s="9"/>
      <c r="AD17" s="9"/>
      <c r="AE17" s="11"/>
      <c r="AF17" s="10" t="s">
        <v>85</v>
      </c>
      <c r="AG17" s="227"/>
      <c r="AH17" s="228"/>
      <c r="AI17" s="9"/>
      <c r="AJ17" s="49" t="s">
        <v>126</v>
      </c>
      <c r="AK17" s="227" t="s">
        <v>5</v>
      </c>
      <c r="AL17" s="229"/>
      <c r="AM17" s="212">
        <v>1</v>
      </c>
      <c r="AN17" s="213"/>
      <c r="AO17" s="212">
        <f t="shared" si="0"/>
        <v>19</v>
      </c>
      <c r="AP17" s="213"/>
      <c r="AQ17" s="214" t="s">
        <v>5</v>
      </c>
      <c r="AR17" s="215"/>
      <c r="AS17" s="215"/>
      <c r="AT17" s="215"/>
      <c r="AU17" s="216"/>
      <c r="AW17" s="8"/>
      <c r="AY17" s="7"/>
    </row>
    <row r="18" spans="1:51" ht="19.899999999999999" customHeight="1">
      <c r="A18" s="220">
        <v>11</v>
      </c>
      <c r="B18" s="221"/>
      <c r="C18" s="231" t="s">
        <v>107</v>
      </c>
      <c r="D18" s="232"/>
      <c r="E18" s="233"/>
      <c r="F18" s="230"/>
      <c r="G18" s="228"/>
      <c r="H18" s="9"/>
      <c r="I18" s="9" t="s">
        <v>5</v>
      </c>
      <c r="J18" s="9" t="s">
        <v>5</v>
      </c>
      <c r="K18" s="11" t="s">
        <v>5</v>
      </c>
      <c r="L18" s="230"/>
      <c r="M18" s="228"/>
      <c r="N18" s="9"/>
      <c r="O18" s="9"/>
      <c r="P18" s="9"/>
      <c r="Q18" s="11"/>
      <c r="R18" s="230"/>
      <c r="S18" s="228"/>
      <c r="T18" s="49" t="s">
        <v>126</v>
      </c>
      <c r="U18" s="9"/>
      <c r="V18" s="227"/>
      <c r="W18" s="228"/>
      <c r="X18" s="227"/>
      <c r="Y18" s="229"/>
      <c r="Z18" s="230"/>
      <c r="AA18" s="228"/>
      <c r="AB18" s="9"/>
      <c r="AC18" s="9"/>
      <c r="AD18" s="9"/>
      <c r="AE18" s="11"/>
      <c r="AF18" s="10"/>
      <c r="AG18" s="227"/>
      <c r="AH18" s="228"/>
      <c r="AI18" s="9"/>
      <c r="AJ18" s="9"/>
      <c r="AK18" s="227" t="s">
        <v>5</v>
      </c>
      <c r="AL18" s="229"/>
      <c r="AM18" s="212">
        <v>1</v>
      </c>
      <c r="AN18" s="213"/>
      <c r="AO18" s="212">
        <f t="shared" si="0"/>
        <v>19</v>
      </c>
      <c r="AP18" s="213"/>
      <c r="AQ18" s="214" t="s">
        <v>5</v>
      </c>
      <c r="AR18" s="215"/>
      <c r="AS18" s="215"/>
      <c r="AT18" s="215"/>
      <c r="AU18" s="216"/>
      <c r="AW18" s="8"/>
      <c r="AY18" s="7"/>
    </row>
    <row r="19" spans="1:51" ht="19.899999999999999" customHeight="1" thickBot="1">
      <c r="A19" s="220">
        <v>12</v>
      </c>
      <c r="B19" s="221"/>
      <c r="C19" s="231" t="s">
        <v>108</v>
      </c>
      <c r="D19" s="232"/>
      <c r="E19" s="233"/>
      <c r="F19" s="230"/>
      <c r="G19" s="228"/>
      <c r="H19" s="9"/>
      <c r="I19" s="9" t="s">
        <v>5</v>
      </c>
      <c r="J19" s="9" t="s">
        <v>5</v>
      </c>
      <c r="K19" s="11" t="s">
        <v>5</v>
      </c>
      <c r="L19" s="230"/>
      <c r="M19" s="228"/>
      <c r="N19" s="9"/>
      <c r="O19" s="9"/>
      <c r="P19" s="9"/>
      <c r="Q19" s="11"/>
      <c r="R19" s="230"/>
      <c r="S19" s="228"/>
      <c r="T19" s="9"/>
      <c r="U19" s="9"/>
      <c r="V19" s="227"/>
      <c r="W19" s="228"/>
      <c r="X19" s="227"/>
      <c r="Y19" s="229"/>
      <c r="Z19" s="230"/>
      <c r="AA19" s="228"/>
      <c r="AB19" s="9"/>
      <c r="AC19" s="9"/>
      <c r="AD19" s="9"/>
      <c r="AE19" s="11"/>
      <c r="AF19" s="10"/>
      <c r="AG19" s="227"/>
      <c r="AH19" s="228"/>
      <c r="AI19" s="9"/>
      <c r="AJ19" s="9"/>
      <c r="AK19" s="227" t="s">
        <v>5</v>
      </c>
      <c r="AL19" s="229"/>
      <c r="AM19" s="212">
        <f t="shared" si="1"/>
        <v>0</v>
      </c>
      <c r="AN19" s="213"/>
      <c r="AO19" s="212">
        <f t="shared" si="0"/>
        <v>20</v>
      </c>
      <c r="AP19" s="213"/>
      <c r="AQ19" s="214" t="s">
        <v>5</v>
      </c>
      <c r="AR19" s="215"/>
      <c r="AS19" s="215"/>
      <c r="AT19" s="215"/>
      <c r="AU19" s="216"/>
      <c r="AW19" s="8"/>
      <c r="AY19" s="7"/>
    </row>
    <row r="20" spans="1:51" ht="19.899999999999999" customHeight="1" thickBot="1">
      <c r="A20" s="220"/>
      <c r="B20" s="221"/>
      <c r="C20" s="246"/>
      <c r="D20" s="247"/>
      <c r="E20" s="248"/>
      <c r="F20" s="230"/>
      <c r="G20" s="228"/>
      <c r="H20" s="9"/>
      <c r="I20" s="9" t="s">
        <v>5</v>
      </c>
      <c r="J20" s="9" t="s">
        <v>5</v>
      </c>
      <c r="K20" s="11" t="s">
        <v>5</v>
      </c>
      <c r="L20" s="230"/>
      <c r="M20" s="228"/>
      <c r="N20" s="9"/>
      <c r="O20" s="9"/>
      <c r="P20" s="9"/>
      <c r="Q20" s="11"/>
      <c r="R20" s="230"/>
      <c r="S20" s="228"/>
      <c r="T20" s="9"/>
      <c r="U20" s="9"/>
      <c r="V20" s="227"/>
      <c r="W20" s="228"/>
      <c r="X20" s="227"/>
      <c r="Y20" s="229"/>
      <c r="Z20" s="230"/>
      <c r="AA20" s="228"/>
      <c r="AB20" s="9"/>
      <c r="AC20" s="9"/>
      <c r="AD20" s="9"/>
      <c r="AE20" s="11"/>
      <c r="AF20" s="10" t="s">
        <v>89</v>
      </c>
      <c r="AG20" s="227"/>
      <c r="AH20" s="228"/>
      <c r="AI20" s="9"/>
      <c r="AJ20" s="9"/>
      <c r="AK20" s="227" t="s">
        <v>5</v>
      </c>
      <c r="AL20" s="229"/>
      <c r="AM20" s="212">
        <f t="shared" si="1"/>
        <v>0</v>
      </c>
      <c r="AN20" s="213"/>
      <c r="AO20" s="212">
        <f t="shared" si="0"/>
        <v>20</v>
      </c>
      <c r="AP20" s="213"/>
      <c r="AQ20" s="214" t="s">
        <v>5</v>
      </c>
      <c r="AR20" s="215"/>
      <c r="AS20" s="215"/>
      <c r="AT20" s="215"/>
      <c r="AU20" s="216"/>
      <c r="AW20" s="8"/>
      <c r="AY20" s="7"/>
    </row>
    <row r="21" spans="1:51" ht="19.5" hidden="1" customHeight="1" thickBot="1">
      <c r="A21" s="220">
        <v>14</v>
      </c>
      <c r="B21" s="221"/>
      <c r="C21" s="246"/>
      <c r="D21" s="247"/>
      <c r="E21" s="248"/>
      <c r="F21" s="230"/>
      <c r="G21" s="228"/>
      <c r="H21" s="9"/>
      <c r="I21" s="9" t="s">
        <v>5</v>
      </c>
      <c r="J21" s="9" t="s">
        <v>5</v>
      </c>
      <c r="K21" s="11" t="s">
        <v>5</v>
      </c>
      <c r="L21" s="230"/>
      <c r="M21" s="228"/>
      <c r="N21" s="9"/>
      <c r="O21" s="9"/>
      <c r="P21" s="9"/>
      <c r="Q21" s="11"/>
      <c r="R21" s="230"/>
      <c r="S21" s="228"/>
      <c r="T21" s="9"/>
      <c r="U21" s="9"/>
      <c r="V21" s="227"/>
      <c r="W21" s="228"/>
      <c r="X21" s="227"/>
      <c r="Y21" s="229"/>
      <c r="Z21" s="230"/>
      <c r="AA21" s="228"/>
      <c r="AB21" s="9"/>
      <c r="AC21" s="9"/>
      <c r="AD21" s="9"/>
      <c r="AE21" s="11"/>
      <c r="AF21" s="10"/>
      <c r="AG21" s="227"/>
      <c r="AH21" s="228"/>
      <c r="AI21" s="9"/>
      <c r="AJ21" s="9"/>
      <c r="AK21" s="227" t="s">
        <v>5</v>
      </c>
      <c r="AL21" s="229"/>
      <c r="AM21" s="212">
        <f t="shared" si="1"/>
        <v>0</v>
      </c>
      <c r="AN21" s="213"/>
      <c r="AO21" s="212">
        <f t="shared" si="0"/>
        <v>20</v>
      </c>
      <c r="AP21" s="213"/>
      <c r="AQ21" s="214" t="s">
        <v>5</v>
      </c>
      <c r="AR21" s="215"/>
      <c r="AS21" s="215"/>
      <c r="AT21" s="215"/>
      <c r="AU21" s="216"/>
      <c r="AW21" s="8"/>
      <c r="AY21" s="7"/>
    </row>
    <row r="22" spans="1:51" ht="19.5" hidden="1" customHeight="1" thickBot="1">
      <c r="A22" s="220">
        <v>15</v>
      </c>
      <c r="B22" s="221"/>
      <c r="C22" s="246"/>
      <c r="D22" s="247"/>
      <c r="E22" s="248"/>
      <c r="F22" s="230"/>
      <c r="G22" s="228"/>
      <c r="H22" s="9"/>
      <c r="I22" s="9" t="s">
        <v>5</v>
      </c>
      <c r="J22" s="9" t="s">
        <v>5</v>
      </c>
      <c r="K22" s="11" t="s">
        <v>5</v>
      </c>
      <c r="L22" s="230"/>
      <c r="M22" s="228"/>
      <c r="N22" s="9"/>
      <c r="O22" s="9"/>
      <c r="P22" s="9"/>
      <c r="Q22" s="11"/>
      <c r="R22" s="230"/>
      <c r="S22" s="228"/>
      <c r="T22" s="9"/>
      <c r="U22" s="9"/>
      <c r="V22" s="227"/>
      <c r="W22" s="228"/>
      <c r="X22" s="227"/>
      <c r="Y22" s="229"/>
      <c r="Z22" s="230"/>
      <c r="AA22" s="228"/>
      <c r="AB22" s="9"/>
      <c r="AC22" s="9"/>
      <c r="AD22" s="9"/>
      <c r="AE22" s="11"/>
      <c r="AF22" s="10"/>
      <c r="AG22" s="227"/>
      <c r="AH22" s="228"/>
      <c r="AI22" s="9"/>
      <c r="AJ22" s="9"/>
      <c r="AK22" s="227" t="s">
        <v>5</v>
      </c>
      <c r="AL22" s="229"/>
      <c r="AM22" s="212">
        <f t="shared" si="1"/>
        <v>0</v>
      </c>
      <c r="AN22" s="213"/>
      <c r="AO22" s="212">
        <f t="shared" si="0"/>
        <v>20</v>
      </c>
      <c r="AP22" s="213"/>
      <c r="AQ22" s="214" t="s">
        <v>5</v>
      </c>
      <c r="AR22" s="215"/>
      <c r="AS22" s="215"/>
      <c r="AT22" s="215"/>
      <c r="AU22" s="216"/>
      <c r="AW22" s="8"/>
      <c r="AY22" s="7"/>
    </row>
    <row r="23" spans="1:51" ht="19.5" hidden="1" customHeight="1" thickBot="1">
      <c r="A23" s="220">
        <v>16</v>
      </c>
      <c r="B23" s="221"/>
      <c r="C23" s="246"/>
      <c r="D23" s="247"/>
      <c r="E23" s="248"/>
      <c r="F23" s="230"/>
      <c r="G23" s="228"/>
      <c r="H23" s="9"/>
      <c r="I23" s="9" t="s">
        <v>5</v>
      </c>
      <c r="J23" s="9" t="s">
        <v>5</v>
      </c>
      <c r="K23" s="11" t="s">
        <v>5</v>
      </c>
      <c r="L23" s="230"/>
      <c r="M23" s="228"/>
      <c r="N23" s="9"/>
      <c r="O23" s="9"/>
      <c r="P23" s="9"/>
      <c r="Q23" s="11"/>
      <c r="R23" s="230"/>
      <c r="S23" s="228"/>
      <c r="T23" s="9"/>
      <c r="U23" s="9"/>
      <c r="V23" s="227"/>
      <c r="W23" s="228"/>
      <c r="X23" s="227"/>
      <c r="Y23" s="229"/>
      <c r="Z23" s="230"/>
      <c r="AA23" s="228"/>
      <c r="AB23" s="9"/>
      <c r="AC23" s="9"/>
      <c r="AD23" s="9"/>
      <c r="AE23" s="11"/>
      <c r="AF23" s="10" t="s">
        <v>88</v>
      </c>
      <c r="AG23" s="227"/>
      <c r="AH23" s="228"/>
      <c r="AI23" s="9"/>
      <c r="AJ23" s="9"/>
      <c r="AK23" s="227" t="s">
        <v>5</v>
      </c>
      <c r="AL23" s="229"/>
      <c r="AM23" s="212">
        <f t="shared" si="1"/>
        <v>0</v>
      </c>
      <c r="AN23" s="213"/>
      <c r="AO23" s="212">
        <f t="shared" si="0"/>
        <v>20</v>
      </c>
      <c r="AP23" s="213"/>
      <c r="AQ23" s="214" t="s">
        <v>5</v>
      </c>
      <c r="AR23" s="215"/>
      <c r="AS23" s="215"/>
      <c r="AT23" s="215"/>
      <c r="AU23" s="216"/>
      <c r="AW23" s="8"/>
      <c r="AY23" s="7"/>
    </row>
    <row r="24" spans="1:51" ht="19.5" hidden="1" customHeight="1" thickBot="1">
      <c r="A24" s="220">
        <v>17</v>
      </c>
      <c r="B24" s="221"/>
      <c r="C24" s="246"/>
      <c r="D24" s="247"/>
      <c r="E24" s="248"/>
      <c r="F24" s="230"/>
      <c r="G24" s="228"/>
      <c r="H24" s="9"/>
      <c r="I24" s="9" t="s">
        <v>5</v>
      </c>
      <c r="J24" s="9" t="s">
        <v>5</v>
      </c>
      <c r="K24" s="11" t="s">
        <v>5</v>
      </c>
      <c r="L24" s="230"/>
      <c r="M24" s="228"/>
      <c r="N24" s="9"/>
      <c r="O24" s="9"/>
      <c r="P24" s="9"/>
      <c r="Q24" s="11"/>
      <c r="R24" s="230"/>
      <c r="S24" s="228"/>
      <c r="T24" s="9"/>
      <c r="U24" s="9"/>
      <c r="V24" s="227"/>
      <c r="W24" s="228"/>
      <c r="X24" s="227"/>
      <c r="Y24" s="229"/>
      <c r="Z24" s="230"/>
      <c r="AA24" s="228"/>
      <c r="AB24" s="9"/>
      <c r="AC24" s="9"/>
      <c r="AD24" s="9"/>
      <c r="AE24" s="11"/>
      <c r="AF24" s="10"/>
      <c r="AG24" s="227"/>
      <c r="AH24" s="228"/>
      <c r="AI24" s="9"/>
      <c r="AJ24" s="9"/>
      <c r="AK24" s="227" t="s">
        <v>5</v>
      </c>
      <c r="AL24" s="229"/>
      <c r="AM24" s="212">
        <f t="shared" si="1"/>
        <v>0</v>
      </c>
      <c r="AN24" s="213"/>
      <c r="AO24" s="212">
        <f t="shared" si="0"/>
        <v>20</v>
      </c>
      <c r="AP24" s="213"/>
      <c r="AQ24" s="214" t="s">
        <v>5</v>
      </c>
      <c r="AR24" s="215"/>
      <c r="AS24" s="215"/>
      <c r="AT24" s="215"/>
      <c r="AU24" s="216"/>
      <c r="AW24" s="8"/>
      <c r="AY24" s="7"/>
    </row>
    <row r="25" spans="1:51" ht="19.5" hidden="1" customHeight="1" thickBot="1">
      <c r="A25" s="220">
        <v>18</v>
      </c>
      <c r="B25" s="221"/>
      <c r="C25" s="246"/>
      <c r="D25" s="247"/>
      <c r="E25" s="248"/>
      <c r="F25" s="230"/>
      <c r="G25" s="228"/>
      <c r="H25" s="9"/>
      <c r="I25" s="9" t="s">
        <v>5</v>
      </c>
      <c r="J25" s="9" t="s">
        <v>5</v>
      </c>
      <c r="K25" s="11" t="s">
        <v>5</v>
      </c>
      <c r="L25" s="230"/>
      <c r="M25" s="228"/>
      <c r="N25" s="9"/>
      <c r="O25" s="9"/>
      <c r="P25" s="9"/>
      <c r="Q25" s="11"/>
      <c r="R25" s="230"/>
      <c r="S25" s="228"/>
      <c r="T25" s="9"/>
      <c r="U25" s="9"/>
      <c r="V25" s="227"/>
      <c r="W25" s="228"/>
      <c r="X25" s="227"/>
      <c r="Y25" s="229"/>
      <c r="Z25" s="230"/>
      <c r="AA25" s="228"/>
      <c r="AB25" s="9"/>
      <c r="AC25" s="9"/>
      <c r="AD25" s="9"/>
      <c r="AE25" s="11"/>
      <c r="AF25" s="10"/>
      <c r="AG25" s="227"/>
      <c r="AH25" s="228"/>
      <c r="AI25" s="9"/>
      <c r="AJ25" s="9"/>
      <c r="AK25" s="227" t="s">
        <v>5</v>
      </c>
      <c r="AL25" s="229"/>
      <c r="AM25" s="212">
        <f t="shared" si="1"/>
        <v>0</v>
      </c>
      <c r="AN25" s="213"/>
      <c r="AO25" s="212">
        <f t="shared" si="0"/>
        <v>20</v>
      </c>
      <c r="AP25" s="213"/>
      <c r="AQ25" s="214" t="s">
        <v>5</v>
      </c>
      <c r="AR25" s="215"/>
      <c r="AS25" s="215"/>
      <c r="AT25" s="215"/>
      <c r="AU25" s="216"/>
      <c r="AW25" s="8"/>
      <c r="AY25" s="7"/>
    </row>
    <row r="26" spans="1:51" ht="19.5" hidden="1" customHeight="1" thickBot="1">
      <c r="A26" s="220">
        <v>19</v>
      </c>
      <c r="B26" s="221"/>
      <c r="C26" s="249"/>
      <c r="D26" s="250"/>
      <c r="E26" s="54"/>
      <c r="F26" s="58"/>
      <c r="G26" s="59"/>
      <c r="H26" s="9"/>
      <c r="I26" s="9"/>
      <c r="J26" s="9"/>
      <c r="K26" s="11"/>
      <c r="L26" s="58"/>
      <c r="M26" s="59"/>
      <c r="N26" s="9"/>
      <c r="O26" s="9"/>
      <c r="P26" s="9"/>
      <c r="Q26" s="11"/>
      <c r="R26" s="58"/>
      <c r="S26" s="59"/>
      <c r="T26" s="9"/>
      <c r="U26" s="9"/>
      <c r="V26" s="56"/>
      <c r="W26" s="59"/>
      <c r="X26" s="56"/>
      <c r="Y26" s="57"/>
      <c r="Z26" s="58"/>
      <c r="AA26" s="59"/>
      <c r="AB26" s="9"/>
      <c r="AC26" s="9"/>
      <c r="AD26" s="9"/>
      <c r="AE26" s="11"/>
      <c r="AF26" s="10" t="s">
        <v>87</v>
      </c>
      <c r="AG26" s="56"/>
      <c r="AH26" s="59"/>
      <c r="AI26" s="9"/>
      <c r="AJ26" s="9"/>
      <c r="AK26" s="56"/>
      <c r="AL26" s="57"/>
      <c r="AM26" s="212">
        <f t="shared" si="1"/>
        <v>0</v>
      </c>
      <c r="AN26" s="213"/>
      <c r="AO26" s="212">
        <f t="shared" si="0"/>
        <v>20</v>
      </c>
      <c r="AP26" s="213"/>
      <c r="AQ26" s="245"/>
      <c r="AR26" s="215"/>
      <c r="AS26" s="215"/>
      <c r="AT26" s="215"/>
      <c r="AU26" s="37"/>
      <c r="AW26" s="8"/>
      <c r="AY26" s="7"/>
    </row>
    <row r="27" spans="1:51" ht="19.5" hidden="1" customHeight="1" thickBot="1">
      <c r="A27" s="220">
        <v>20</v>
      </c>
      <c r="B27" s="221"/>
      <c r="C27" s="246"/>
      <c r="D27" s="247"/>
      <c r="E27" s="248"/>
      <c r="F27" s="230"/>
      <c r="G27" s="228"/>
      <c r="H27" s="9"/>
      <c r="I27" s="9" t="s">
        <v>5</v>
      </c>
      <c r="J27" s="9" t="s">
        <v>5</v>
      </c>
      <c r="K27" s="11" t="s">
        <v>5</v>
      </c>
      <c r="L27" s="230"/>
      <c r="M27" s="228"/>
      <c r="N27" s="9"/>
      <c r="O27" s="9"/>
      <c r="P27" s="9"/>
      <c r="Q27" s="11"/>
      <c r="R27" s="230"/>
      <c r="S27" s="228"/>
      <c r="T27" s="9"/>
      <c r="U27" s="9"/>
      <c r="V27" s="227"/>
      <c r="W27" s="228"/>
      <c r="X27" s="227"/>
      <c r="Y27" s="229"/>
      <c r="Z27" s="230"/>
      <c r="AA27" s="228"/>
      <c r="AB27" s="9"/>
      <c r="AC27" s="9"/>
      <c r="AD27" s="9"/>
      <c r="AE27" s="11"/>
      <c r="AF27" s="10"/>
      <c r="AG27" s="227"/>
      <c r="AH27" s="228"/>
      <c r="AI27" s="9"/>
      <c r="AJ27" s="9"/>
      <c r="AK27" s="227" t="s">
        <v>5</v>
      </c>
      <c r="AL27" s="229"/>
      <c r="AM27" s="212">
        <f t="shared" si="1"/>
        <v>0</v>
      </c>
      <c r="AN27" s="213"/>
      <c r="AO27" s="212">
        <f t="shared" si="0"/>
        <v>20</v>
      </c>
      <c r="AP27" s="213"/>
      <c r="AQ27" s="245" t="s">
        <v>5</v>
      </c>
      <c r="AR27" s="215"/>
      <c r="AS27" s="215"/>
      <c r="AT27" s="215"/>
      <c r="AU27" s="216"/>
      <c r="AW27" s="8"/>
      <c r="AY27" s="7"/>
    </row>
    <row r="28" spans="1:51" ht="19.5" hidden="1" customHeight="1" thickBot="1">
      <c r="A28" s="220">
        <v>21</v>
      </c>
      <c r="B28" s="221"/>
      <c r="C28" s="246"/>
      <c r="D28" s="247"/>
      <c r="E28" s="248"/>
      <c r="F28" s="226"/>
      <c r="G28" s="210"/>
      <c r="H28" s="16"/>
      <c r="I28" s="16" t="s">
        <v>5</v>
      </c>
      <c r="J28" s="16" t="s">
        <v>5</v>
      </c>
      <c r="K28" s="17" t="s">
        <v>5</v>
      </c>
      <c r="L28" s="226"/>
      <c r="M28" s="210"/>
      <c r="N28" s="16"/>
      <c r="O28" s="16"/>
      <c r="P28" s="16"/>
      <c r="Q28" s="17"/>
      <c r="R28" s="226"/>
      <c r="S28" s="210"/>
      <c r="T28" s="16"/>
      <c r="U28" s="16"/>
      <c r="V28" s="209"/>
      <c r="W28" s="210"/>
      <c r="X28" s="209"/>
      <c r="Y28" s="211"/>
      <c r="Z28" s="226"/>
      <c r="AA28" s="210"/>
      <c r="AB28" s="16"/>
      <c r="AC28" s="16"/>
      <c r="AD28" s="16"/>
      <c r="AE28" s="17"/>
      <c r="AF28" s="15"/>
      <c r="AG28" s="209"/>
      <c r="AH28" s="210"/>
      <c r="AI28" s="16"/>
      <c r="AJ28" s="16"/>
      <c r="AK28" s="209" t="s">
        <v>5</v>
      </c>
      <c r="AL28" s="211"/>
      <c r="AM28" s="212">
        <f t="shared" si="1"/>
        <v>0</v>
      </c>
      <c r="AN28" s="213"/>
      <c r="AO28" s="212">
        <f t="shared" si="0"/>
        <v>20</v>
      </c>
      <c r="AP28" s="213"/>
      <c r="AQ28" s="214" t="s">
        <v>5</v>
      </c>
      <c r="AR28" s="215"/>
      <c r="AS28" s="215"/>
      <c r="AT28" s="215"/>
      <c r="AU28" s="216"/>
      <c r="AW28" s="217" t="s">
        <v>74</v>
      </c>
      <c r="AX28" s="218"/>
      <c r="AY28" s="219"/>
    </row>
    <row r="29" spans="1:51" ht="19.899999999999999" customHeight="1" thickTop="1" thickBot="1">
      <c r="A29" s="187">
        <v>12</v>
      </c>
      <c r="B29" s="188"/>
      <c r="C29" s="205" t="s">
        <v>21</v>
      </c>
      <c r="D29" s="206"/>
      <c r="E29" s="206"/>
      <c r="F29" s="243"/>
      <c r="G29" s="241"/>
      <c r="H29" s="28"/>
      <c r="I29" s="28"/>
      <c r="J29" s="28"/>
      <c r="K29" s="28">
        <v>12</v>
      </c>
      <c r="L29" s="293">
        <v>12</v>
      </c>
      <c r="M29" s="294"/>
      <c r="N29" s="28">
        <v>12</v>
      </c>
      <c r="O29" s="28">
        <v>12</v>
      </c>
      <c r="P29" s="28">
        <v>12</v>
      </c>
      <c r="Q29" s="28">
        <v>12</v>
      </c>
      <c r="R29" s="293">
        <v>12</v>
      </c>
      <c r="S29" s="294"/>
      <c r="T29" s="28">
        <v>10</v>
      </c>
      <c r="U29" s="28">
        <v>12</v>
      </c>
      <c r="V29" s="293">
        <v>12</v>
      </c>
      <c r="W29" s="294"/>
      <c r="X29" s="293">
        <v>12</v>
      </c>
      <c r="Y29" s="294"/>
      <c r="Z29" s="293">
        <v>12</v>
      </c>
      <c r="AA29" s="294"/>
      <c r="AB29" s="28">
        <v>12</v>
      </c>
      <c r="AC29" s="28">
        <v>12</v>
      </c>
      <c r="AD29" s="28">
        <v>12</v>
      </c>
      <c r="AE29" s="28">
        <v>12</v>
      </c>
      <c r="AF29" s="34"/>
      <c r="AG29" s="293">
        <v>12</v>
      </c>
      <c r="AH29" s="294"/>
      <c r="AI29" s="28">
        <v>12</v>
      </c>
      <c r="AJ29" s="28">
        <v>9</v>
      </c>
      <c r="AK29" s="293">
        <v>11</v>
      </c>
      <c r="AL29" s="294"/>
      <c r="AM29" s="170">
        <f>SUM(AM8:AN28)</f>
        <v>6</v>
      </c>
      <c r="AN29" s="171"/>
      <c r="AO29" s="172">
        <v>234</v>
      </c>
      <c r="AP29" s="171"/>
      <c r="AQ29" s="173" t="s">
        <v>5</v>
      </c>
      <c r="AR29" s="174"/>
      <c r="AS29" s="174"/>
      <c r="AT29" s="174"/>
      <c r="AU29" s="175"/>
      <c r="AW29" s="12">
        <f>AW5</f>
        <v>20</v>
      </c>
      <c r="AX29" s="39">
        <v>12</v>
      </c>
      <c r="AY29" s="7">
        <f>AW29*AX29</f>
        <v>240</v>
      </c>
    </row>
    <row r="30" spans="1:51" ht="19.899999999999999" customHeight="1">
      <c r="A30" s="220">
        <v>1</v>
      </c>
      <c r="B30" s="221"/>
      <c r="C30" s="231" t="s">
        <v>109</v>
      </c>
      <c r="D30" s="232"/>
      <c r="E30" s="233"/>
      <c r="F30" s="230"/>
      <c r="G30" s="228"/>
      <c r="H30" s="29"/>
      <c r="I30" s="9"/>
      <c r="J30" s="9"/>
      <c r="K30" s="30"/>
      <c r="L30" s="237"/>
      <c r="M30" s="235"/>
      <c r="N30" s="9"/>
      <c r="O30" s="29"/>
      <c r="P30" s="29"/>
      <c r="Q30" s="30"/>
      <c r="R30" s="237"/>
      <c r="S30" s="235"/>
      <c r="T30" s="29"/>
      <c r="U30" s="29"/>
      <c r="V30" s="234"/>
      <c r="W30" s="235"/>
      <c r="X30" s="234"/>
      <c r="Y30" s="236"/>
      <c r="Z30" s="237"/>
      <c r="AA30" s="235"/>
      <c r="AB30" s="29"/>
      <c r="AC30" s="29"/>
      <c r="AD30" s="29"/>
      <c r="AE30" s="30"/>
      <c r="AF30" s="31"/>
      <c r="AG30" s="234"/>
      <c r="AH30" s="235"/>
      <c r="AI30" s="29"/>
      <c r="AJ30" s="9"/>
      <c r="AK30" s="234"/>
      <c r="AL30" s="236"/>
      <c r="AM30" s="212">
        <f t="shared" ref="AM30:AM48" si="2">COUNTIF(F30:AL30,"X")</f>
        <v>0</v>
      </c>
      <c r="AN30" s="213"/>
      <c r="AO30" s="212">
        <f t="shared" ref="AO30:AO48" si="3">$AW$5-AM30</f>
        <v>20</v>
      </c>
      <c r="AP30" s="213"/>
      <c r="AQ30" s="214" t="s">
        <v>5</v>
      </c>
      <c r="AR30" s="215"/>
      <c r="AS30" s="215"/>
      <c r="AT30" s="215"/>
      <c r="AU30" s="216"/>
      <c r="AW30" s="8"/>
      <c r="AY30" s="7"/>
    </row>
    <row r="31" spans="1:51" ht="19.899999999999999" customHeight="1">
      <c r="A31" s="220">
        <v>2</v>
      </c>
      <c r="B31" s="221"/>
      <c r="C31" s="231" t="s">
        <v>110</v>
      </c>
      <c r="D31" s="232"/>
      <c r="E31" s="233"/>
      <c r="F31" s="230"/>
      <c r="G31" s="228"/>
      <c r="H31" s="9"/>
      <c r="I31" s="9"/>
      <c r="J31" s="9"/>
      <c r="K31" s="11"/>
      <c r="L31" s="230"/>
      <c r="M31" s="228"/>
      <c r="N31" s="9"/>
      <c r="O31" s="9"/>
      <c r="P31" s="9"/>
      <c r="Q31" s="11"/>
      <c r="R31" s="230"/>
      <c r="S31" s="228"/>
      <c r="T31" s="9"/>
      <c r="U31" s="9"/>
      <c r="V31" s="227"/>
      <c r="W31" s="228"/>
      <c r="X31" s="227"/>
      <c r="Y31" s="229"/>
      <c r="Z31" s="230"/>
      <c r="AA31" s="228"/>
      <c r="AB31" s="9"/>
      <c r="AC31" s="9"/>
      <c r="AD31" s="9"/>
      <c r="AE31" s="11"/>
      <c r="AF31" s="10"/>
      <c r="AG31" s="227"/>
      <c r="AH31" s="228"/>
      <c r="AI31" s="9"/>
      <c r="AJ31" s="9"/>
      <c r="AK31" s="227"/>
      <c r="AL31" s="229"/>
      <c r="AM31" s="212">
        <f t="shared" si="2"/>
        <v>0</v>
      </c>
      <c r="AN31" s="213"/>
      <c r="AO31" s="212">
        <f t="shared" si="3"/>
        <v>20</v>
      </c>
      <c r="AP31" s="213"/>
      <c r="AQ31" s="214" t="s">
        <v>5</v>
      </c>
      <c r="AR31" s="215"/>
      <c r="AS31" s="215"/>
      <c r="AT31" s="215"/>
      <c r="AU31" s="216"/>
      <c r="AW31" s="8"/>
      <c r="AY31" s="7"/>
    </row>
    <row r="32" spans="1:51" ht="19.899999999999999" customHeight="1">
      <c r="A32" s="220">
        <v>3</v>
      </c>
      <c r="B32" s="221"/>
      <c r="C32" s="231" t="s">
        <v>111</v>
      </c>
      <c r="D32" s="232"/>
      <c r="E32" s="233"/>
      <c r="F32" s="230"/>
      <c r="G32" s="228"/>
      <c r="H32" s="9"/>
      <c r="I32" s="9"/>
      <c r="J32" s="9"/>
      <c r="K32" s="11"/>
      <c r="L32" s="230"/>
      <c r="M32" s="228"/>
      <c r="N32" s="9"/>
      <c r="O32" s="9"/>
      <c r="P32" s="9"/>
      <c r="Q32" s="11"/>
      <c r="R32" s="230"/>
      <c r="S32" s="228"/>
      <c r="T32" s="9"/>
      <c r="U32" s="9"/>
      <c r="V32" s="227"/>
      <c r="W32" s="228"/>
      <c r="X32" s="227"/>
      <c r="Y32" s="229"/>
      <c r="Z32" s="230"/>
      <c r="AA32" s="228"/>
      <c r="AB32" s="9"/>
      <c r="AC32" s="9"/>
      <c r="AD32" s="9"/>
      <c r="AE32" s="11"/>
      <c r="AF32" s="10"/>
      <c r="AG32" s="227"/>
      <c r="AH32" s="228"/>
      <c r="AI32" s="9"/>
      <c r="AJ32" s="9"/>
      <c r="AK32" s="227"/>
      <c r="AL32" s="229"/>
      <c r="AM32" s="212">
        <f t="shared" si="2"/>
        <v>0</v>
      </c>
      <c r="AN32" s="213"/>
      <c r="AO32" s="212">
        <f t="shared" si="3"/>
        <v>20</v>
      </c>
      <c r="AP32" s="213"/>
      <c r="AQ32" s="214" t="s">
        <v>5</v>
      </c>
      <c r="AR32" s="215"/>
      <c r="AS32" s="215"/>
      <c r="AT32" s="215"/>
      <c r="AU32" s="216"/>
      <c r="AW32" s="8"/>
      <c r="AY32" s="7"/>
    </row>
    <row r="33" spans="1:51" ht="19.899999999999999" customHeight="1">
      <c r="A33" s="220">
        <v>4</v>
      </c>
      <c r="B33" s="221"/>
      <c r="C33" s="231" t="s">
        <v>112</v>
      </c>
      <c r="D33" s="232"/>
      <c r="E33" s="233"/>
      <c r="F33" s="230"/>
      <c r="G33" s="228"/>
      <c r="H33" s="9"/>
      <c r="I33" s="9"/>
      <c r="J33" s="9"/>
      <c r="K33" s="11"/>
      <c r="L33" s="230"/>
      <c r="M33" s="228"/>
      <c r="N33" s="9"/>
      <c r="O33" s="9"/>
      <c r="P33" s="9"/>
      <c r="Q33" s="11"/>
      <c r="R33" s="230"/>
      <c r="S33" s="228"/>
      <c r="T33" s="9"/>
      <c r="U33" s="9"/>
      <c r="V33" s="227"/>
      <c r="W33" s="228"/>
      <c r="X33" s="227"/>
      <c r="Y33" s="229"/>
      <c r="Z33" s="230"/>
      <c r="AA33" s="228"/>
      <c r="AB33" s="9"/>
      <c r="AC33" s="9"/>
      <c r="AD33" s="9"/>
      <c r="AE33" s="11"/>
      <c r="AF33" s="10"/>
      <c r="AG33" s="227"/>
      <c r="AH33" s="228"/>
      <c r="AI33" s="9"/>
      <c r="AJ33" s="9"/>
      <c r="AK33" s="227"/>
      <c r="AL33" s="229"/>
      <c r="AM33" s="212">
        <f t="shared" si="2"/>
        <v>0</v>
      </c>
      <c r="AN33" s="213"/>
      <c r="AO33" s="212">
        <f t="shared" si="3"/>
        <v>20</v>
      </c>
      <c r="AP33" s="213"/>
      <c r="AQ33" s="214" t="s">
        <v>5</v>
      </c>
      <c r="AR33" s="215"/>
      <c r="AS33" s="215"/>
      <c r="AT33" s="215"/>
      <c r="AU33" s="216"/>
      <c r="AW33" s="8"/>
      <c r="AY33" s="7"/>
    </row>
    <row r="34" spans="1:51" ht="19.899999999999999" customHeight="1">
      <c r="A34" s="220">
        <v>5</v>
      </c>
      <c r="B34" s="221"/>
      <c r="C34" s="231" t="s">
        <v>113</v>
      </c>
      <c r="D34" s="232"/>
      <c r="E34" s="233"/>
      <c r="F34" s="230"/>
      <c r="G34" s="228"/>
      <c r="H34" s="9"/>
      <c r="I34" s="9"/>
      <c r="J34" s="9"/>
      <c r="K34" s="11"/>
      <c r="L34" s="230"/>
      <c r="M34" s="228"/>
      <c r="N34" s="9"/>
      <c r="O34" s="9"/>
      <c r="P34" s="9"/>
      <c r="Q34" s="11"/>
      <c r="R34" s="230"/>
      <c r="S34" s="228"/>
      <c r="T34" s="9"/>
      <c r="U34" s="9"/>
      <c r="V34" s="227"/>
      <c r="W34" s="228"/>
      <c r="X34" s="227"/>
      <c r="Y34" s="229"/>
      <c r="Z34" s="230"/>
      <c r="AA34" s="228"/>
      <c r="AB34" s="9"/>
      <c r="AC34" s="9"/>
      <c r="AD34" s="9"/>
      <c r="AE34" s="11"/>
      <c r="AF34" s="10"/>
      <c r="AG34" s="227"/>
      <c r="AH34" s="228"/>
      <c r="AI34" s="9"/>
      <c r="AJ34" s="9"/>
      <c r="AK34" s="227"/>
      <c r="AL34" s="229"/>
      <c r="AM34" s="212">
        <f t="shared" si="2"/>
        <v>0</v>
      </c>
      <c r="AN34" s="213"/>
      <c r="AO34" s="212">
        <f t="shared" si="3"/>
        <v>20</v>
      </c>
      <c r="AP34" s="213"/>
      <c r="AQ34" s="214" t="s">
        <v>5</v>
      </c>
      <c r="AR34" s="215"/>
      <c r="AS34" s="215"/>
      <c r="AT34" s="215"/>
      <c r="AU34" s="216"/>
      <c r="AW34" s="8"/>
      <c r="AY34" s="7"/>
    </row>
    <row r="35" spans="1:51" ht="19.899999999999999" customHeight="1">
      <c r="A35" s="220">
        <v>6</v>
      </c>
      <c r="B35" s="221"/>
      <c r="C35" s="231" t="s">
        <v>114</v>
      </c>
      <c r="D35" s="232"/>
      <c r="E35" s="233"/>
      <c r="F35" s="230"/>
      <c r="G35" s="228"/>
      <c r="H35" s="9"/>
      <c r="I35" s="9"/>
      <c r="J35" s="9"/>
      <c r="K35" s="11"/>
      <c r="L35" s="230"/>
      <c r="M35" s="228"/>
      <c r="N35" s="9"/>
      <c r="O35" s="9"/>
      <c r="P35" s="9"/>
      <c r="Q35" s="11"/>
      <c r="R35" s="230"/>
      <c r="S35" s="228"/>
      <c r="T35" s="9"/>
      <c r="U35" s="9"/>
      <c r="V35" s="227"/>
      <c r="W35" s="228"/>
      <c r="X35" s="227"/>
      <c r="Y35" s="229"/>
      <c r="Z35" s="230"/>
      <c r="AA35" s="228"/>
      <c r="AB35" s="9"/>
      <c r="AC35" s="9"/>
      <c r="AD35" s="9"/>
      <c r="AE35" s="11"/>
      <c r="AF35" s="10"/>
      <c r="AG35" s="227"/>
      <c r="AH35" s="228"/>
      <c r="AI35" s="9"/>
      <c r="AJ35" s="9"/>
      <c r="AK35" s="227"/>
      <c r="AL35" s="229"/>
      <c r="AM35" s="212">
        <f t="shared" si="2"/>
        <v>0</v>
      </c>
      <c r="AN35" s="213"/>
      <c r="AO35" s="212">
        <f t="shared" si="3"/>
        <v>20</v>
      </c>
      <c r="AP35" s="213"/>
      <c r="AQ35" s="214" t="s">
        <v>5</v>
      </c>
      <c r="AR35" s="215"/>
      <c r="AS35" s="215"/>
      <c r="AT35" s="215"/>
      <c r="AU35" s="216"/>
      <c r="AW35" s="8"/>
      <c r="AY35" s="7"/>
    </row>
    <row r="36" spans="1:51" ht="19.899999999999999" customHeight="1">
      <c r="A36" s="220">
        <v>7</v>
      </c>
      <c r="B36" s="221"/>
      <c r="C36" s="231" t="s">
        <v>115</v>
      </c>
      <c r="D36" s="232"/>
      <c r="E36" s="233"/>
      <c r="F36" s="230"/>
      <c r="G36" s="228"/>
      <c r="H36" s="9"/>
      <c r="I36" s="9"/>
      <c r="J36" s="9"/>
      <c r="K36" s="11"/>
      <c r="L36" s="230"/>
      <c r="M36" s="228"/>
      <c r="N36" s="9"/>
      <c r="O36" s="9"/>
      <c r="P36" s="49" t="s">
        <v>126</v>
      </c>
      <c r="Q36" s="11"/>
      <c r="R36" s="230"/>
      <c r="S36" s="228"/>
      <c r="T36" s="9"/>
      <c r="U36" s="9"/>
      <c r="V36" s="227"/>
      <c r="W36" s="228"/>
      <c r="X36" s="227"/>
      <c r="Y36" s="229"/>
      <c r="Z36" s="230"/>
      <c r="AA36" s="228"/>
      <c r="AB36" s="9"/>
      <c r="AC36" s="9"/>
      <c r="AD36" s="9"/>
      <c r="AE36" s="11"/>
      <c r="AF36" s="10"/>
      <c r="AG36" s="227"/>
      <c r="AH36" s="228"/>
      <c r="AI36" s="9"/>
      <c r="AJ36" s="49" t="s">
        <v>126</v>
      </c>
      <c r="AK36" s="227"/>
      <c r="AL36" s="229"/>
      <c r="AM36" s="212">
        <v>2</v>
      </c>
      <c r="AN36" s="213"/>
      <c r="AO36" s="212">
        <f t="shared" si="3"/>
        <v>18</v>
      </c>
      <c r="AP36" s="213"/>
      <c r="AQ36" s="214" t="s">
        <v>5</v>
      </c>
      <c r="AR36" s="215"/>
      <c r="AS36" s="215"/>
      <c r="AT36" s="215"/>
      <c r="AU36" s="216"/>
      <c r="AW36" s="8"/>
      <c r="AY36" s="7"/>
    </row>
    <row r="37" spans="1:51" ht="19.899999999999999" customHeight="1">
      <c r="A37" s="220">
        <v>8</v>
      </c>
      <c r="B37" s="221"/>
      <c r="C37" s="231" t="s">
        <v>116</v>
      </c>
      <c r="D37" s="232"/>
      <c r="E37" s="233"/>
      <c r="F37" s="230" t="s">
        <v>5</v>
      </c>
      <c r="G37" s="228"/>
      <c r="H37" s="9" t="s">
        <v>5</v>
      </c>
      <c r="I37" s="9" t="s">
        <v>5</v>
      </c>
      <c r="J37" s="9" t="s">
        <v>5</v>
      </c>
      <c r="K37" s="11" t="s">
        <v>5</v>
      </c>
      <c r="L37" s="230"/>
      <c r="M37" s="228"/>
      <c r="N37" s="9"/>
      <c r="O37" s="9"/>
      <c r="P37" s="9"/>
      <c r="Q37" s="11"/>
      <c r="R37" s="230"/>
      <c r="S37" s="228"/>
      <c r="T37" s="9"/>
      <c r="U37" s="9"/>
      <c r="V37" s="227"/>
      <c r="W37" s="228"/>
      <c r="X37" s="227"/>
      <c r="Y37" s="229"/>
      <c r="Z37" s="230"/>
      <c r="AA37" s="228"/>
      <c r="AB37" s="9"/>
      <c r="AC37" s="9"/>
      <c r="AD37" s="9"/>
      <c r="AE37" s="11"/>
      <c r="AF37" s="10"/>
      <c r="AG37" s="227"/>
      <c r="AH37" s="228"/>
      <c r="AI37" s="49" t="s">
        <v>126</v>
      </c>
      <c r="AJ37" s="9"/>
      <c r="AK37" s="227"/>
      <c r="AL37" s="229"/>
      <c r="AM37" s="212">
        <v>1</v>
      </c>
      <c r="AN37" s="213"/>
      <c r="AO37" s="212">
        <f t="shared" si="3"/>
        <v>19</v>
      </c>
      <c r="AP37" s="213"/>
      <c r="AQ37" s="214" t="s">
        <v>5</v>
      </c>
      <c r="AR37" s="215"/>
      <c r="AS37" s="215"/>
      <c r="AT37" s="215"/>
      <c r="AU37" s="216"/>
      <c r="AW37" s="8"/>
      <c r="AY37" s="7"/>
    </row>
    <row r="38" spans="1:51" ht="19.899999999999999" customHeight="1">
      <c r="A38" s="220">
        <v>9</v>
      </c>
      <c r="B38" s="221"/>
      <c r="C38" s="231" t="s">
        <v>117</v>
      </c>
      <c r="D38" s="232"/>
      <c r="E38" s="233"/>
      <c r="F38" s="230" t="s">
        <v>5</v>
      </c>
      <c r="G38" s="228"/>
      <c r="H38" s="9" t="s">
        <v>5</v>
      </c>
      <c r="I38" s="9" t="s">
        <v>5</v>
      </c>
      <c r="J38" s="9" t="s">
        <v>5</v>
      </c>
      <c r="K38" s="11" t="s">
        <v>5</v>
      </c>
      <c r="L38" s="230"/>
      <c r="M38" s="228"/>
      <c r="N38" s="9"/>
      <c r="O38" s="9"/>
      <c r="P38" s="49" t="s">
        <v>126</v>
      </c>
      <c r="Q38" s="11"/>
      <c r="R38" s="230"/>
      <c r="S38" s="228"/>
      <c r="T38" s="9"/>
      <c r="U38" s="9"/>
      <c r="V38" s="227"/>
      <c r="W38" s="228"/>
      <c r="X38" s="227"/>
      <c r="Y38" s="229"/>
      <c r="Z38" s="230"/>
      <c r="AA38" s="228"/>
      <c r="AB38" s="9"/>
      <c r="AC38" s="9"/>
      <c r="AD38" s="9"/>
      <c r="AE38" s="11"/>
      <c r="AF38" s="10"/>
      <c r="AG38" s="227"/>
      <c r="AH38" s="228"/>
      <c r="AI38" s="9"/>
      <c r="AJ38" s="9"/>
      <c r="AK38" s="227"/>
      <c r="AL38" s="229"/>
      <c r="AM38" s="212">
        <v>1</v>
      </c>
      <c r="AN38" s="213"/>
      <c r="AO38" s="212">
        <f t="shared" si="3"/>
        <v>19</v>
      </c>
      <c r="AP38" s="213"/>
      <c r="AQ38" s="214" t="s">
        <v>5</v>
      </c>
      <c r="AR38" s="215"/>
      <c r="AS38" s="215"/>
      <c r="AT38" s="215"/>
      <c r="AU38" s="216"/>
      <c r="AW38" s="8"/>
      <c r="AY38" s="7"/>
    </row>
    <row r="39" spans="1:51" ht="19.899999999999999" customHeight="1">
      <c r="A39" s="220">
        <v>10</v>
      </c>
      <c r="B39" s="221"/>
      <c r="C39" s="231" t="s">
        <v>118</v>
      </c>
      <c r="D39" s="232"/>
      <c r="E39" s="233"/>
      <c r="F39" s="230" t="s">
        <v>5</v>
      </c>
      <c r="G39" s="228"/>
      <c r="H39" s="9" t="s">
        <v>5</v>
      </c>
      <c r="I39" s="9" t="s">
        <v>5</v>
      </c>
      <c r="J39" s="9" t="s">
        <v>5</v>
      </c>
      <c r="K39" s="11" t="s">
        <v>5</v>
      </c>
      <c r="L39" s="230"/>
      <c r="M39" s="228"/>
      <c r="N39" s="9"/>
      <c r="O39" s="9"/>
      <c r="P39" s="9"/>
      <c r="Q39" s="11"/>
      <c r="R39" s="230"/>
      <c r="S39" s="228"/>
      <c r="T39" s="9"/>
      <c r="U39" s="9"/>
      <c r="V39" s="227"/>
      <c r="W39" s="228"/>
      <c r="X39" s="227"/>
      <c r="Y39" s="229"/>
      <c r="Z39" s="230"/>
      <c r="AA39" s="228"/>
      <c r="AB39" s="9"/>
      <c r="AC39" s="9"/>
      <c r="AD39" s="9"/>
      <c r="AE39" s="11"/>
      <c r="AF39" s="10"/>
      <c r="AG39" s="227"/>
      <c r="AH39" s="228"/>
      <c r="AI39" s="9"/>
      <c r="AJ39" s="9"/>
      <c r="AK39" s="227"/>
      <c r="AL39" s="229"/>
      <c r="AM39" s="212">
        <f t="shared" si="2"/>
        <v>0</v>
      </c>
      <c r="AN39" s="213"/>
      <c r="AO39" s="212">
        <f t="shared" si="3"/>
        <v>20</v>
      </c>
      <c r="AP39" s="213"/>
      <c r="AQ39" s="214" t="s">
        <v>5</v>
      </c>
      <c r="AR39" s="215"/>
      <c r="AS39" s="215"/>
      <c r="AT39" s="215"/>
      <c r="AU39" s="216"/>
      <c r="AW39" s="8"/>
      <c r="AY39" s="7"/>
    </row>
    <row r="40" spans="1:51" ht="19.899999999999999" customHeight="1">
      <c r="A40" s="220">
        <v>11</v>
      </c>
      <c r="B40" s="221"/>
      <c r="C40" s="231" t="s">
        <v>119</v>
      </c>
      <c r="D40" s="232"/>
      <c r="E40" s="233"/>
      <c r="F40" s="230" t="s">
        <v>5</v>
      </c>
      <c r="G40" s="228"/>
      <c r="H40" s="9" t="s">
        <v>5</v>
      </c>
      <c r="I40" s="9" t="s">
        <v>5</v>
      </c>
      <c r="J40" s="9" t="s">
        <v>5</v>
      </c>
      <c r="K40" s="11" t="s">
        <v>5</v>
      </c>
      <c r="L40" s="230"/>
      <c r="M40" s="228"/>
      <c r="N40" s="9"/>
      <c r="O40" s="9"/>
      <c r="P40" s="49" t="s">
        <v>126</v>
      </c>
      <c r="Q40" s="11"/>
      <c r="R40" s="230"/>
      <c r="S40" s="228"/>
      <c r="T40" s="9"/>
      <c r="U40" s="9"/>
      <c r="V40" s="227"/>
      <c r="W40" s="228"/>
      <c r="X40" s="227"/>
      <c r="Y40" s="229"/>
      <c r="Z40" s="230"/>
      <c r="AA40" s="228"/>
      <c r="AB40" s="9"/>
      <c r="AC40" s="9"/>
      <c r="AD40" s="9"/>
      <c r="AE40" s="11"/>
      <c r="AF40" s="10"/>
      <c r="AG40" s="227"/>
      <c r="AH40" s="228"/>
      <c r="AI40" s="9"/>
      <c r="AJ40" s="9"/>
      <c r="AK40" s="227"/>
      <c r="AL40" s="229"/>
      <c r="AM40" s="212">
        <v>1</v>
      </c>
      <c r="AN40" s="213"/>
      <c r="AO40" s="212">
        <f t="shared" si="3"/>
        <v>19</v>
      </c>
      <c r="AP40" s="213"/>
      <c r="AQ40" s="214" t="s">
        <v>5</v>
      </c>
      <c r="AR40" s="215"/>
      <c r="AS40" s="215"/>
      <c r="AT40" s="215"/>
      <c r="AU40" s="216"/>
      <c r="AW40" s="8"/>
      <c r="AY40" s="7"/>
    </row>
    <row r="41" spans="1:51" ht="19.899999999999999" customHeight="1">
      <c r="A41" s="220">
        <v>12</v>
      </c>
      <c r="B41" s="221"/>
      <c r="C41" s="231" t="s">
        <v>120</v>
      </c>
      <c r="D41" s="232"/>
      <c r="E41" s="233"/>
      <c r="F41" s="230" t="s">
        <v>5</v>
      </c>
      <c r="G41" s="228"/>
      <c r="H41" s="9" t="s">
        <v>5</v>
      </c>
      <c r="I41" s="9" t="s">
        <v>5</v>
      </c>
      <c r="J41" s="9" t="s">
        <v>5</v>
      </c>
      <c r="K41" s="11" t="s">
        <v>5</v>
      </c>
      <c r="L41" s="230"/>
      <c r="M41" s="228"/>
      <c r="N41" s="9"/>
      <c r="O41" s="9"/>
      <c r="P41" s="9"/>
      <c r="Q41" s="11"/>
      <c r="R41" s="230"/>
      <c r="S41" s="228"/>
      <c r="T41" s="9"/>
      <c r="U41" s="9"/>
      <c r="V41" s="227"/>
      <c r="W41" s="228"/>
      <c r="X41" s="227"/>
      <c r="Y41" s="229"/>
      <c r="Z41" s="230"/>
      <c r="AA41" s="228"/>
      <c r="AB41" s="9"/>
      <c r="AC41" s="9"/>
      <c r="AD41" s="9"/>
      <c r="AE41" s="11"/>
      <c r="AF41" s="10"/>
      <c r="AG41" s="227"/>
      <c r="AH41" s="228"/>
      <c r="AI41" s="9"/>
      <c r="AJ41" s="9"/>
      <c r="AK41" s="227"/>
      <c r="AL41" s="229"/>
      <c r="AM41" s="212">
        <f t="shared" si="2"/>
        <v>0</v>
      </c>
      <c r="AN41" s="213"/>
      <c r="AO41" s="212">
        <f t="shared" si="3"/>
        <v>20</v>
      </c>
      <c r="AP41" s="213"/>
      <c r="AQ41" s="214" t="s">
        <v>5</v>
      </c>
      <c r="AR41" s="215"/>
      <c r="AS41" s="215"/>
      <c r="AT41" s="215"/>
      <c r="AU41" s="216"/>
      <c r="AW41" s="8"/>
      <c r="AY41" s="7"/>
    </row>
    <row r="42" spans="1:51" ht="19.899999999999999" customHeight="1">
      <c r="A42" s="220">
        <v>13</v>
      </c>
      <c r="B42" s="221"/>
      <c r="C42" s="231" t="s">
        <v>121</v>
      </c>
      <c r="D42" s="232"/>
      <c r="E42" s="233"/>
      <c r="F42" s="230" t="s">
        <v>5</v>
      </c>
      <c r="G42" s="228"/>
      <c r="H42" s="9" t="s">
        <v>5</v>
      </c>
      <c r="I42" s="9" t="s">
        <v>5</v>
      </c>
      <c r="J42" s="9" t="s">
        <v>5</v>
      </c>
      <c r="K42" s="11" t="s">
        <v>5</v>
      </c>
      <c r="L42" s="230"/>
      <c r="M42" s="228"/>
      <c r="N42" s="9"/>
      <c r="O42" s="9"/>
      <c r="P42" s="9"/>
      <c r="Q42" s="11"/>
      <c r="R42" s="230"/>
      <c r="S42" s="228"/>
      <c r="T42" s="9"/>
      <c r="U42" s="9"/>
      <c r="V42" s="227"/>
      <c r="W42" s="228"/>
      <c r="X42" s="227"/>
      <c r="Y42" s="229"/>
      <c r="Z42" s="230"/>
      <c r="AA42" s="228"/>
      <c r="AB42" s="9"/>
      <c r="AC42" s="9"/>
      <c r="AD42" s="9"/>
      <c r="AE42" s="11"/>
      <c r="AF42" s="10"/>
      <c r="AG42" s="227"/>
      <c r="AH42" s="228"/>
      <c r="AI42" s="9"/>
      <c r="AJ42" s="9"/>
      <c r="AK42" s="227"/>
      <c r="AL42" s="229"/>
      <c r="AM42" s="212">
        <f t="shared" si="2"/>
        <v>0</v>
      </c>
      <c r="AN42" s="213"/>
      <c r="AO42" s="212">
        <f t="shared" si="3"/>
        <v>20</v>
      </c>
      <c r="AP42" s="213"/>
      <c r="AQ42" s="214" t="s">
        <v>5</v>
      </c>
      <c r="AR42" s="215"/>
      <c r="AS42" s="215"/>
      <c r="AT42" s="215"/>
      <c r="AU42" s="216"/>
      <c r="AW42" s="8"/>
      <c r="AY42" s="7"/>
    </row>
    <row r="43" spans="1:51" ht="19.899999999999999" customHeight="1" thickBot="1">
      <c r="A43" s="220">
        <v>14</v>
      </c>
      <c r="B43" s="221"/>
      <c r="C43" s="231" t="s">
        <v>122</v>
      </c>
      <c r="D43" s="232"/>
      <c r="E43" s="233"/>
      <c r="F43" s="230" t="s">
        <v>5</v>
      </c>
      <c r="G43" s="228"/>
      <c r="H43" s="9" t="s">
        <v>5</v>
      </c>
      <c r="I43" s="9" t="s">
        <v>5</v>
      </c>
      <c r="J43" s="9" t="s">
        <v>5</v>
      </c>
      <c r="K43" s="11" t="s">
        <v>5</v>
      </c>
      <c r="L43" s="230"/>
      <c r="M43" s="228"/>
      <c r="N43" s="9"/>
      <c r="O43" s="9"/>
      <c r="P43" s="9"/>
      <c r="Q43" s="11"/>
      <c r="R43" s="230"/>
      <c r="S43" s="228"/>
      <c r="T43" s="9"/>
      <c r="U43" s="9"/>
      <c r="V43" s="227"/>
      <c r="W43" s="228"/>
      <c r="X43" s="227"/>
      <c r="Y43" s="229"/>
      <c r="Z43" s="230"/>
      <c r="AA43" s="228"/>
      <c r="AB43" s="9"/>
      <c r="AC43" s="9"/>
      <c r="AD43" s="9"/>
      <c r="AE43" s="11"/>
      <c r="AF43" s="10"/>
      <c r="AG43" s="227"/>
      <c r="AH43" s="228"/>
      <c r="AI43" s="9"/>
      <c r="AJ43" s="9"/>
      <c r="AK43" s="227"/>
      <c r="AL43" s="229"/>
      <c r="AM43" s="212">
        <f t="shared" si="2"/>
        <v>0</v>
      </c>
      <c r="AN43" s="213"/>
      <c r="AO43" s="212">
        <f t="shared" si="3"/>
        <v>20</v>
      </c>
      <c r="AP43" s="213"/>
      <c r="AQ43" s="214" t="s">
        <v>5</v>
      </c>
      <c r="AR43" s="215"/>
      <c r="AS43" s="215"/>
      <c r="AT43" s="215"/>
      <c r="AU43" s="216"/>
      <c r="AW43" s="8"/>
      <c r="AY43" s="7"/>
    </row>
    <row r="44" spans="1:51" ht="19.5" customHeight="1" thickBot="1">
      <c r="A44" s="220">
        <v>15</v>
      </c>
      <c r="B44" s="221"/>
      <c r="C44" s="222"/>
      <c r="D44" s="223"/>
      <c r="E44" s="224"/>
      <c r="F44" s="230" t="s">
        <v>5</v>
      </c>
      <c r="G44" s="228"/>
      <c r="H44" s="9" t="s">
        <v>5</v>
      </c>
      <c r="I44" s="9" t="s">
        <v>5</v>
      </c>
      <c r="J44" s="9" t="s">
        <v>5</v>
      </c>
      <c r="K44" s="11" t="s">
        <v>5</v>
      </c>
      <c r="L44" s="230"/>
      <c r="M44" s="228"/>
      <c r="N44" s="9"/>
      <c r="O44" s="9"/>
      <c r="P44" s="9"/>
      <c r="Q44" s="11"/>
      <c r="R44" s="230"/>
      <c r="S44" s="228"/>
      <c r="T44" s="9"/>
      <c r="U44" s="9"/>
      <c r="V44" s="227"/>
      <c r="W44" s="228"/>
      <c r="X44" s="227"/>
      <c r="Y44" s="229"/>
      <c r="Z44" s="230"/>
      <c r="AA44" s="228"/>
      <c r="AB44" s="9"/>
      <c r="AC44" s="9"/>
      <c r="AD44" s="9"/>
      <c r="AE44" s="11"/>
      <c r="AF44" s="10"/>
      <c r="AG44" s="227"/>
      <c r="AH44" s="228"/>
      <c r="AI44" s="9"/>
      <c r="AJ44" s="9"/>
      <c r="AK44" s="227"/>
      <c r="AL44" s="229"/>
      <c r="AM44" s="212">
        <f t="shared" si="2"/>
        <v>0</v>
      </c>
      <c r="AN44" s="213"/>
      <c r="AO44" s="212">
        <f t="shared" si="3"/>
        <v>20</v>
      </c>
      <c r="AP44" s="213"/>
      <c r="AQ44" s="214" t="s">
        <v>5</v>
      </c>
      <c r="AR44" s="215"/>
      <c r="AS44" s="215"/>
      <c r="AT44" s="215"/>
      <c r="AU44" s="216"/>
      <c r="AW44" s="8"/>
      <c r="AY44" s="7"/>
    </row>
    <row r="45" spans="1:51" ht="19.5" hidden="1" customHeight="1" thickBot="1">
      <c r="A45" s="220">
        <v>16</v>
      </c>
      <c r="B45" s="221"/>
      <c r="C45" s="222"/>
      <c r="D45" s="223"/>
      <c r="E45" s="224"/>
      <c r="F45" s="230" t="s">
        <v>5</v>
      </c>
      <c r="G45" s="228"/>
      <c r="H45" s="9" t="s">
        <v>5</v>
      </c>
      <c r="I45" s="9" t="s">
        <v>5</v>
      </c>
      <c r="J45" s="9" t="s">
        <v>5</v>
      </c>
      <c r="K45" s="11" t="s">
        <v>5</v>
      </c>
      <c r="L45" s="230"/>
      <c r="M45" s="228"/>
      <c r="N45" s="9"/>
      <c r="O45" s="9"/>
      <c r="P45" s="9"/>
      <c r="Q45" s="11"/>
      <c r="R45" s="230"/>
      <c r="S45" s="228"/>
      <c r="T45" s="9"/>
      <c r="U45" s="9"/>
      <c r="V45" s="227"/>
      <c r="W45" s="228"/>
      <c r="X45" s="227"/>
      <c r="Y45" s="229"/>
      <c r="Z45" s="230"/>
      <c r="AA45" s="228"/>
      <c r="AB45" s="9"/>
      <c r="AC45" s="9"/>
      <c r="AD45" s="9"/>
      <c r="AE45" s="11"/>
      <c r="AF45" s="10"/>
      <c r="AG45" s="227"/>
      <c r="AH45" s="228"/>
      <c r="AI45" s="9"/>
      <c r="AJ45" s="9"/>
      <c r="AK45" s="227"/>
      <c r="AL45" s="229"/>
      <c r="AM45" s="212">
        <f t="shared" si="2"/>
        <v>0</v>
      </c>
      <c r="AN45" s="213"/>
      <c r="AO45" s="212">
        <f t="shared" si="3"/>
        <v>20</v>
      </c>
      <c r="AP45" s="213"/>
      <c r="AQ45" s="214" t="s">
        <v>5</v>
      </c>
      <c r="AR45" s="215"/>
      <c r="AS45" s="215"/>
      <c r="AT45" s="215"/>
      <c r="AU45" s="216"/>
      <c r="AW45" s="8"/>
      <c r="AY45" s="7"/>
    </row>
    <row r="46" spans="1:51" ht="19.5" hidden="1" customHeight="1" thickBot="1">
      <c r="A46" s="220">
        <v>17</v>
      </c>
      <c r="B46" s="221"/>
      <c r="C46" s="222"/>
      <c r="D46" s="223"/>
      <c r="E46" s="224"/>
      <c r="F46" s="230" t="s">
        <v>5</v>
      </c>
      <c r="G46" s="228"/>
      <c r="H46" s="9" t="s">
        <v>5</v>
      </c>
      <c r="I46" s="9" t="s">
        <v>5</v>
      </c>
      <c r="J46" s="9" t="s">
        <v>5</v>
      </c>
      <c r="K46" s="11" t="s">
        <v>5</v>
      </c>
      <c r="L46" s="230"/>
      <c r="M46" s="228"/>
      <c r="N46" s="9"/>
      <c r="O46" s="9"/>
      <c r="P46" s="9"/>
      <c r="Q46" s="11"/>
      <c r="R46" s="230"/>
      <c r="S46" s="228"/>
      <c r="T46" s="9"/>
      <c r="U46" s="9"/>
      <c r="V46" s="227"/>
      <c r="W46" s="228"/>
      <c r="X46" s="227"/>
      <c r="Y46" s="229"/>
      <c r="Z46" s="230"/>
      <c r="AA46" s="228"/>
      <c r="AB46" s="9"/>
      <c r="AC46" s="9"/>
      <c r="AD46" s="9"/>
      <c r="AE46" s="11"/>
      <c r="AF46" s="10"/>
      <c r="AG46" s="227"/>
      <c r="AH46" s="228"/>
      <c r="AI46" s="9"/>
      <c r="AJ46" s="9"/>
      <c r="AK46" s="227"/>
      <c r="AL46" s="229"/>
      <c r="AM46" s="212">
        <f t="shared" si="2"/>
        <v>0</v>
      </c>
      <c r="AN46" s="213"/>
      <c r="AO46" s="212">
        <f t="shared" si="3"/>
        <v>20</v>
      </c>
      <c r="AP46" s="213"/>
      <c r="AQ46" s="214" t="s">
        <v>5</v>
      </c>
      <c r="AR46" s="215"/>
      <c r="AS46" s="215"/>
      <c r="AT46" s="215"/>
      <c r="AU46" s="216"/>
      <c r="AW46" s="8"/>
      <c r="AY46" s="7"/>
    </row>
    <row r="47" spans="1:51" ht="19.5" hidden="1" customHeight="1" thickBot="1">
      <c r="A47" s="220">
        <v>18</v>
      </c>
      <c r="B47" s="221"/>
      <c r="C47" s="222"/>
      <c r="D47" s="223"/>
      <c r="E47" s="224"/>
      <c r="F47" s="230" t="s">
        <v>5</v>
      </c>
      <c r="G47" s="228"/>
      <c r="H47" s="9" t="s">
        <v>5</v>
      </c>
      <c r="I47" s="9" t="s">
        <v>5</v>
      </c>
      <c r="J47" s="9" t="s">
        <v>5</v>
      </c>
      <c r="K47" s="11" t="s">
        <v>5</v>
      </c>
      <c r="L47" s="230"/>
      <c r="M47" s="228"/>
      <c r="N47" s="9"/>
      <c r="O47" s="9"/>
      <c r="P47" s="9"/>
      <c r="Q47" s="11"/>
      <c r="R47" s="230"/>
      <c r="S47" s="228"/>
      <c r="T47" s="9"/>
      <c r="U47" s="9"/>
      <c r="V47" s="227"/>
      <c r="W47" s="228"/>
      <c r="X47" s="227"/>
      <c r="Y47" s="229"/>
      <c r="Z47" s="230"/>
      <c r="AA47" s="228"/>
      <c r="AB47" s="9"/>
      <c r="AC47" s="9"/>
      <c r="AD47" s="9"/>
      <c r="AE47" s="11"/>
      <c r="AF47" s="10"/>
      <c r="AG47" s="227"/>
      <c r="AH47" s="228"/>
      <c r="AI47" s="9"/>
      <c r="AJ47" s="9"/>
      <c r="AK47" s="227"/>
      <c r="AL47" s="229"/>
      <c r="AM47" s="212">
        <f t="shared" si="2"/>
        <v>0</v>
      </c>
      <c r="AN47" s="213"/>
      <c r="AO47" s="212">
        <f t="shared" si="3"/>
        <v>20</v>
      </c>
      <c r="AP47" s="213"/>
      <c r="AQ47" s="214" t="s">
        <v>5</v>
      </c>
      <c r="AR47" s="215"/>
      <c r="AS47" s="215"/>
      <c r="AT47" s="215"/>
      <c r="AU47" s="216"/>
      <c r="AW47" s="8"/>
      <c r="AY47" s="7"/>
    </row>
    <row r="48" spans="1:51" ht="19.5" hidden="1" customHeight="1" thickBot="1">
      <c r="A48" s="220">
        <v>19</v>
      </c>
      <c r="B48" s="221"/>
      <c r="C48" s="222"/>
      <c r="D48" s="223"/>
      <c r="E48" s="224"/>
      <c r="F48" s="225" t="s">
        <v>5</v>
      </c>
      <c r="G48" s="198"/>
      <c r="H48" s="16" t="s">
        <v>5</v>
      </c>
      <c r="I48" s="16" t="s">
        <v>5</v>
      </c>
      <c r="J48" s="16" t="s">
        <v>5</v>
      </c>
      <c r="K48" s="17" t="s">
        <v>5</v>
      </c>
      <c r="L48" s="226"/>
      <c r="M48" s="210"/>
      <c r="N48" s="16"/>
      <c r="O48" s="16"/>
      <c r="P48" s="16"/>
      <c r="Q48" s="17"/>
      <c r="R48" s="226"/>
      <c r="S48" s="210"/>
      <c r="T48" s="16"/>
      <c r="U48" s="16"/>
      <c r="V48" s="209"/>
      <c r="W48" s="210"/>
      <c r="X48" s="209"/>
      <c r="Y48" s="211"/>
      <c r="Z48" s="226"/>
      <c r="AA48" s="210"/>
      <c r="AB48" s="16"/>
      <c r="AC48" s="16"/>
      <c r="AD48" s="16"/>
      <c r="AE48" s="17"/>
      <c r="AF48" s="15"/>
      <c r="AG48" s="209"/>
      <c r="AH48" s="210"/>
      <c r="AI48" s="16"/>
      <c r="AJ48" s="16"/>
      <c r="AK48" s="209"/>
      <c r="AL48" s="211"/>
      <c r="AM48" s="212">
        <f t="shared" si="2"/>
        <v>0</v>
      </c>
      <c r="AN48" s="213"/>
      <c r="AO48" s="212">
        <f t="shared" si="3"/>
        <v>20</v>
      </c>
      <c r="AP48" s="213"/>
      <c r="AQ48" s="214" t="s">
        <v>5</v>
      </c>
      <c r="AR48" s="215"/>
      <c r="AS48" s="215"/>
      <c r="AT48" s="215"/>
      <c r="AU48" s="216"/>
      <c r="AW48" s="217" t="s">
        <v>75</v>
      </c>
      <c r="AX48" s="218"/>
      <c r="AY48" s="219"/>
    </row>
    <row r="49" spans="1:51" ht="19.899999999999999" customHeight="1" thickTop="1" thickBot="1">
      <c r="A49" s="187">
        <v>14</v>
      </c>
      <c r="B49" s="188"/>
      <c r="C49" s="205" t="s">
        <v>22</v>
      </c>
      <c r="D49" s="206"/>
      <c r="E49" s="206"/>
      <c r="F49" s="207"/>
      <c r="G49" s="208"/>
      <c r="H49" s="28"/>
      <c r="I49" s="28"/>
      <c r="J49" s="28"/>
      <c r="K49" s="28">
        <v>14</v>
      </c>
      <c r="L49" s="200">
        <v>14</v>
      </c>
      <c r="M49" s="208"/>
      <c r="N49" s="28">
        <v>14</v>
      </c>
      <c r="O49" s="28">
        <v>14</v>
      </c>
      <c r="P49" s="28">
        <v>11</v>
      </c>
      <c r="Q49" s="28">
        <v>14</v>
      </c>
      <c r="R49" s="200">
        <v>14</v>
      </c>
      <c r="S49" s="208"/>
      <c r="T49" s="28">
        <v>14</v>
      </c>
      <c r="U49" s="28">
        <v>14</v>
      </c>
      <c r="V49" s="200">
        <v>14</v>
      </c>
      <c r="W49" s="208"/>
      <c r="X49" s="200">
        <v>14</v>
      </c>
      <c r="Y49" s="169"/>
      <c r="Z49" s="201">
        <v>14</v>
      </c>
      <c r="AA49" s="193"/>
      <c r="AB49" s="18">
        <v>14</v>
      </c>
      <c r="AC49" s="18">
        <v>14</v>
      </c>
      <c r="AD49" s="18">
        <v>14</v>
      </c>
      <c r="AE49" s="21">
        <v>14</v>
      </c>
      <c r="AF49" s="22"/>
      <c r="AG49" s="202">
        <v>14</v>
      </c>
      <c r="AH49" s="202"/>
      <c r="AI49" s="23">
        <v>13</v>
      </c>
      <c r="AJ49" s="23">
        <v>13</v>
      </c>
      <c r="AK49" s="203">
        <v>13</v>
      </c>
      <c r="AL49" s="204"/>
      <c r="AM49" s="170">
        <f>SUM(AM30:AN48)</f>
        <v>5</v>
      </c>
      <c r="AN49" s="171"/>
      <c r="AO49" s="172">
        <v>275</v>
      </c>
      <c r="AP49" s="171"/>
      <c r="AQ49" s="173" t="s">
        <v>5</v>
      </c>
      <c r="AR49" s="174"/>
      <c r="AS49" s="174"/>
      <c r="AT49" s="174"/>
      <c r="AU49" s="175"/>
      <c r="AW49" s="12">
        <f>AW29</f>
        <v>20</v>
      </c>
      <c r="AX49" s="40">
        <v>14</v>
      </c>
      <c r="AY49" s="7">
        <f>AW49*AX49</f>
        <v>280</v>
      </c>
    </row>
    <row r="50" spans="1:51" ht="19.899999999999999" customHeight="1" thickBot="1">
      <c r="A50" s="187">
        <v>26</v>
      </c>
      <c r="B50" s="188"/>
      <c r="C50" s="189" t="s">
        <v>23</v>
      </c>
      <c r="D50" s="190"/>
      <c r="E50" s="191"/>
      <c r="F50" s="192">
        <f>F49+F29</f>
        <v>0</v>
      </c>
      <c r="G50" s="193"/>
      <c r="H50" s="27">
        <f>H49+H29</f>
        <v>0</v>
      </c>
      <c r="I50" s="27">
        <f>I49+I29</f>
        <v>0</v>
      </c>
      <c r="J50" s="27">
        <f>J49+J29</f>
        <v>0</v>
      </c>
      <c r="K50" s="27">
        <f>K29+K49</f>
        <v>26</v>
      </c>
      <c r="L50" s="194">
        <f>L29+L49</f>
        <v>26</v>
      </c>
      <c r="M50" s="195"/>
      <c r="N50" s="27">
        <f>N29+N49</f>
        <v>26</v>
      </c>
      <c r="O50" s="27">
        <f>O29+O49</f>
        <v>26</v>
      </c>
      <c r="P50" s="27">
        <f>P29+P49</f>
        <v>23</v>
      </c>
      <c r="Q50" s="27">
        <f>Q29+Q49</f>
        <v>26</v>
      </c>
      <c r="R50" s="194">
        <f>R29+R49</f>
        <v>26</v>
      </c>
      <c r="S50" s="195"/>
      <c r="T50" s="27">
        <f>T29+T49</f>
        <v>24</v>
      </c>
      <c r="U50" s="27">
        <f>U29+U49</f>
        <v>26</v>
      </c>
      <c r="V50" s="194">
        <f>V29+V49</f>
        <v>26</v>
      </c>
      <c r="W50" s="195"/>
      <c r="X50" s="194">
        <f>X29+X49</f>
        <v>26</v>
      </c>
      <c r="Y50" s="196"/>
      <c r="Z50" s="197">
        <f>Z29+Z49</f>
        <v>26</v>
      </c>
      <c r="AA50" s="198"/>
      <c r="AB50" s="19">
        <f t="shared" ref="AB50:AG50" si="4">AB29+AB49</f>
        <v>26</v>
      </c>
      <c r="AC50" s="19">
        <f t="shared" si="4"/>
        <v>26</v>
      </c>
      <c r="AD50" s="20">
        <f t="shared" si="4"/>
        <v>26</v>
      </c>
      <c r="AE50" s="24">
        <f t="shared" si="4"/>
        <v>26</v>
      </c>
      <c r="AF50" s="25"/>
      <c r="AG50" s="199">
        <f t="shared" si="4"/>
        <v>26</v>
      </c>
      <c r="AH50" s="199"/>
      <c r="AI50" s="26">
        <f>AI49+AI29</f>
        <v>25</v>
      </c>
      <c r="AJ50" s="26">
        <f>AJ49+AJ29</f>
        <v>22</v>
      </c>
      <c r="AK50" s="168">
        <v>23</v>
      </c>
      <c r="AL50" s="169"/>
      <c r="AM50" s="170">
        <f>AM29+AM49</f>
        <v>11</v>
      </c>
      <c r="AN50" s="171"/>
      <c r="AO50" s="172">
        <f>AO29+AO49</f>
        <v>509</v>
      </c>
      <c r="AP50" s="171"/>
      <c r="AQ50" s="173" t="s">
        <v>5</v>
      </c>
      <c r="AR50" s="174"/>
      <c r="AS50" s="174"/>
      <c r="AT50" s="174"/>
      <c r="AU50" s="175"/>
      <c r="AW50" s="6"/>
      <c r="AX50" s="5"/>
      <c r="AY50" s="4"/>
    </row>
    <row r="51" spans="1:51" ht="10.15" customHeight="1">
      <c r="A51" s="176" t="s">
        <v>24</v>
      </c>
      <c r="B51" s="72"/>
      <c r="C51" s="72"/>
      <c r="D51" s="72"/>
      <c r="E51" s="72"/>
      <c r="F51" s="72"/>
      <c r="G51" s="72"/>
      <c r="H51" s="72"/>
      <c r="I51" s="72"/>
      <c r="J51" s="72"/>
      <c r="K51" s="72"/>
      <c r="L51" s="72"/>
      <c r="M51" s="72"/>
      <c r="N51" s="72"/>
      <c r="O51" s="72"/>
      <c r="P51" s="72"/>
      <c r="Q51" s="72"/>
      <c r="R51" s="72"/>
      <c r="S51" s="72"/>
      <c r="T51" s="72"/>
      <c r="U51" s="72"/>
      <c r="V51" s="72"/>
      <c r="W51" s="72"/>
      <c r="X51" s="72"/>
      <c r="Y51" s="1"/>
      <c r="Z51" s="82" t="s">
        <v>25</v>
      </c>
      <c r="AA51" s="83"/>
      <c r="AB51" s="83"/>
      <c r="AC51" s="83"/>
      <c r="AD51" s="83"/>
      <c r="AE51" s="83"/>
      <c r="AF51" s="83"/>
      <c r="AG51" s="83"/>
      <c r="AH51" s="83"/>
      <c r="AI51" s="83"/>
      <c r="AJ51" s="83"/>
      <c r="AK51" s="84"/>
      <c r="AL51" s="1"/>
      <c r="AM51" s="177" t="s">
        <v>26</v>
      </c>
      <c r="AN51" s="178"/>
      <c r="AO51" s="179"/>
      <c r="AP51" s="177" t="s">
        <v>27</v>
      </c>
      <c r="AQ51" s="179"/>
      <c r="AR51" s="183" t="s">
        <v>28</v>
      </c>
      <c r="AS51" s="184"/>
      <c r="AT51" s="184"/>
      <c r="AU51" s="185"/>
    </row>
    <row r="52" spans="1:51" ht="10.15" customHeight="1" thickBot="1">
      <c r="A52" s="186" t="s">
        <v>29</v>
      </c>
      <c r="B52" s="72"/>
      <c r="C52" s="72"/>
      <c r="D52" s="72"/>
      <c r="E52" s="72"/>
      <c r="F52" s="72"/>
      <c r="G52" s="72"/>
      <c r="H52" s="72"/>
      <c r="I52" s="72"/>
      <c r="J52" s="72"/>
      <c r="K52" s="72"/>
      <c r="L52" s="72"/>
      <c r="M52" s="72"/>
      <c r="N52" s="72"/>
      <c r="O52" s="72"/>
      <c r="P52" s="72"/>
      <c r="Q52" s="72"/>
      <c r="R52" s="72"/>
      <c r="S52" s="72"/>
      <c r="T52" s="72"/>
      <c r="U52" s="72"/>
      <c r="V52" s="72"/>
      <c r="W52" s="72"/>
      <c r="X52" s="72"/>
      <c r="Y52" s="1"/>
      <c r="Z52" s="150" t="s">
        <v>30</v>
      </c>
      <c r="AA52" s="151"/>
      <c r="AB52" s="151"/>
      <c r="AC52" s="151"/>
      <c r="AD52" s="151"/>
      <c r="AE52" s="151"/>
      <c r="AF52" s="151"/>
      <c r="AG52" s="151"/>
      <c r="AH52" s="151"/>
      <c r="AI52" s="151"/>
      <c r="AJ52" s="151"/>
      <c r="AK52" s="152"/>
      <c r="AL52" s="1"/>
      <c r="AM52" s="180"/>
      <c r="AN52" s="181"/>
      <c r="AO52" s="182"/>
      <c r="AP52" s="180"/>
      <c r="AQ52" s="182"/>
      <c r="AR52" s="3" t="s">
        <v>14</v>
      </c>
      <c r="AS52" s="3" t="s">
        <v>18</v>
      </c>
      <c r="AT52" s="153" t="s">
        <v>31</v>
      </c>
      <c r="AU52" s="154"/>
    </row>
    <row r="53" spans="1:51" ht="10.15" customHeight="1">
      <c r="A53" s="72"/>
      <c r="B53" s="72"/>
      <c r="C53" s="72"/>
      <c r="D53" s="72"/>
      <c r="E53" s="72"/>
      <c r="F53" s="72"/>
      <c r="G53" s="72"/>
      <c r="H53" s="72"/>
      <c r="I53" s="72"/>
      <c r="J53" s="72"/>
      <c r="K53" s="72"/>
      <c r="L53" s="72"/>
      <c r="M53" s="72"/>
      <c r="N53" s="72"/>
      <c r="O53" s="72"/>
      <c r="P53" s="72"/>
      <c r="Q53" s="72"/>
      <c r="R53" s="72"/>
      <c r="S53" s="72"/>
      <c r="T53" s="72"/>
      <c r="U53" s="72"/>
      <c r="V53" s="72"/>
      <c r="W53" s="72"/>
      <c r="X53" s="72"/>
      <c r="Y53" s="1"/>
      <c r="Z53" s="150"/>
      <c r="AA53" s="151"/>
      <c r="AB53" s="151"/>
      <c r="AC53" s="151"/>
      <c r="AD53" s="151"/>
      <c r="AE53" s="151"/>
      <c r="AF53" s="151"/>
      <c r="AG53" s="151"/>
      <c r="AH53" s="151"/>
      <c r="AI53" s="151"/>
      <c r="AJ53" s="151"/>
      <c r="AK53" s="152"/>
      <c r="AL53" s="1"/>
      <c r="AM53" s="155" t="s">
        <v>32</v>
      </c>
      <c r="AN53" s="156"/>
      <c r="AO53" s="156"/>
      <c r="AP53" s="156"/>
      <c r="AQ53" s="157"/>
      <c r="AR53" s="161">
        <v>12</v>
      </c>
      <c r="AS53" s="140">
        <v>14</v>
      </c>
      <c r="AT53" s="60">
        <f>AR53+AS53</f>
        <v>26</v>
      </c>
      <c r="AU53" s="61"/>
    </row>
    <row r="54" spans="1:51" ht="4.9000000000000004" customHeight="1">
      <c r="A54" s="72"/>
      <c r="B54" s="72"/>
      <c r="C54" s="72"/>
      <c r="D54" s="72"/>
      <c r="E54" s="72"/>
      <c r="F54" s="72"/>
      <c r="G54" s="72"/>
      <c r="H54" s="72"/>
      <c r="I54" s="72"/>
      <c r="J54" s="72"/>
      <c r="K54" s="72"/>
      <c r="L54" s="72"/>
      <c r="M54" s="72"/>
      <c r="N54" s="72"/>
      <c r="O54" s="72"/>
      <c r="P54" s="72"/>
      <c r="Q54" s="72"/>
      <c r="R54" s="72"/>
      <c r="S54" s="72"/>
      <c r="T54" s="72"/>
      <c r="U54" s="72"/>
      <c r="V54" s="72"/>
      <c r="W54" s="72"/>
      <c r="X54" s="72"/>
      <c r="Y54" s="1"/>
      <c r="Z54" s="82" t="s">
        <v>33</v>
      </c>
      <c r="AA54" s="83"/>
      <c r="AB54" s="83"/>
      <c r="AC54" s="83"/>
      <c r="AD54" s="83"/>
      <c r="AE54" s="83"/>
      <c r="AF54" s="83"/>
      <c r="AG54" s="83"/>
      <c r="AH54" s="83"/>
      <c r="AI54" s="83"/>
      <c r="AJ54" s="83"/>
      <c r="AK54" s="84"/>
      <c r="AL54" s="1"/>
      <c r="AM54" s="158"/>
      <c r="AN54" s="159"/>
      <c r="AO54" s="159"/>
      <c r="AP54" s="159"/>
      <c r="AQ54" s="160"/>
      <c r="AR54" s="162"/>
      <c r="AS54" s="142"/>
      <c r="AT54" s="103"/>
      <c r="AU54" s="104"/>
    </row>
    <row r="55" spans="1:51" ht="4.9000000000000004" customHeight="1">
      <c r="A55" s="72"/>
      <c r="B55" s="72"/>
      <c r="C55" s="72"/>
      <c r="D55" s="72"/>
      <c r="E55" s="72"/>
      <c r="F55" s="72"/>
      <c r="G55" s="72"/>
      <c r="H55" s="72"/>
      <c r="I55" s="72"/>
      <c r="J55" s="72"/>
      <c r="K55" s="72"/>
      <c r="L55" s="72"/>
      <c r="M55" s="72"/>
      <c r="N55" s="72"/>
      <c r="O55" s="72"/>
      <c r="P55" s="72"/>
      <c r="Q55" s="72"/>
      <c r="R55" s="72"/>
      <c r="S55" s="72"/>
      <c r="T55" s="72"/>
      <c r="U55" s="72"/>
      <c r="V55" s="72"/>
      <c r="W55" s="72"/>
      <c r="X55" s="72"/>
      <c r="Y55" s="1"/>
      <c r="Z55" s="82"/>
      <c r="AA55" s="83"/>
      <c r="AB55" s="83"/>
      <c r="AC55" s="83"/>
      <c r="AD55" s="83"/>
      <c r="AE55" s="83"/>
      <c r="AF55" s="83"/>
      <c r="AG55" s="83"/>
      <c r="AH55" s="83"/>
      <c r="AI55" s="83"/>
      <c r="AJ55" s="83"/>
      <c r="AK55" s="84"/>
      <c r="AL55" s="1"/>
      <c r="AM55" s="163" t="s">
        <v>34</v>
      </c>
      <c r="AN55" s="164"/>
      <c r="AO55" s="165"/>
      <c r="AP55" s="166" t="s">
        <v>35</v>
      </c>
      <c r="AQ55" s="167"/>
      <c r="AR55" s="140">
        <v>0</v>
      </c>
      <c r="AS55" s="140">
        <v>0</v>
      </c>
      <c r="AT55" s="143">
        <v>0</v>
      </c>
      <c r="AU55" s="144"/>
    </row>
    <row r="56" spans="1:51" ht="7.9" customHeight="1">
      <c r="A56" s="1"/>
      <c r="B56" s="133" t="s">
        <v>36</v>
      </c>
      <c r="C56" s="72"/>
      <c r="D56" s="72"/>
      <c r="E56" s="72"/>
      <c r="F56" s="72"/>
      <c r="G56" s="149" t="s">
        <v>37</v>
      </c>
      <c r="H56" s="149"/>
      <c r="I56" s="149"/>
      <c r="J56" s="149"/>
      <c r="K56" s="149"/>
      <c r="L56" s="149"/>
      <c r="M56" s="149"/>
      <c r="N56" s="149"/>
      <c r="O56" s="149"/>
      <c r="P56" s="149"/>
      <c r="Q56" s="149"/>
      <c r="R56" s="149"/>
      <c r="S56" s="149"/>
      <c r="T56" s="119" t="s">
        <v>38</v>
      </c>
      <c r="U56" s="72"/>
      <c r="V56" s="72"/>
      <c r="W56" s="1"/>
      <c r="X56" s="1"/>
      <c r="Y56" s="1"/>
      <c r="Z56" s="82" t="s">
        <v>39</v>
      </c>
      <c r="AA56" s="83"/>
      <c r="AB56" s="83"/>
      <c r="AC56" s="83"/>
      <c r="AD56" s="83"/>
      <c r="AE56" s="83"/>
      <c r="AF56" s="83"/>
      <c r="AG56" s="83"/>
      <c r="AH56" s="83"/>
      <c r="AI56" s="83"/>
      <c r="AJ56" s="83"/>
      <c r="AK56" s="84"/>
      <c r="AL56" s="1"/>
      <c r="AM56" s="163"/>
      <c r="AN56" s="164"/>
      <c r="AO56" s="165"/>
      <c r="AP56" s="166"/>
      <c r="AQ56" s="167"/>
      <c r="AR56" s="141"/>
      <c r="AS56" s="141"/>
      <c r="AT56" s="145"/>
      <c r="AU56" s="146"/>
    </row>
    <row r="57" spans="1:51" ht="1.9" customHeight="1">
      <c r="A57" s="1"/>
      <c r="B57" s="72"/>
      <c r="C57" s="72"/>
      <c r="D57" s="72"/>
      <c r="E57" s="72"/>
      <c r="F57" s="72"/>
      <c r="G57" s="134"/>
      <c r="H57" s="134"/>
      <c r="I57" s="134"/>
      <c r="J57" s="134"/>
      <c r="K57" s="134"/>
      <c r="L57" s="134"/>
      <c r="M57" s="134"/>
      <c r="N57" s="134"/>
      <c r="O57" s="134"/>
      <c r="P57" s="134"/>
      <c r="Q57" s="134"/>
      <c r="R57" s="134"/>
      <c r="S57" s="134"/>
      <c r="T57" s="72"/>
      <c r="U57" s="72"/>
      <c r="V57" s="72"/>
      <c r="W57" s="1"/>
      <c r="X57" s="1"/>
      <c r="Y57" s="1"/>
      <c r="Z57" s="82"/>
      <c r="AA57" s="83"/>
      <c r="AB57" s="83"/>
      <c r="AC57" s="83"/>
      <c r="AD57" s="83"/>
      <c r="AE57" s="83"/>
      <c r="AF57" s="83"/>
      <c r="AG57" s="83"/>
      <c r="AH57" s="83"/>
      <c r="AI57" s="83"/>
      <c r="AJ57" s="83"/>
      <c r="AK57" s="84"/>
      <c r="AL57" s="1"/>
      <c r="AM57" s="123" t="s">
        <v>40</v>
      </c>
      <c r="AN57" s="124"/>
      <c r="AO57" s="124"/>
      <c r="AP57" s="124"/>
      <c r="AQ57" s="125"/>
      <c r="AR57" s="141"/>
      <c r="AS57" s="141"/>
      <c r="AT57" s="145"/>
      <c r="AU57" s="146"/>
    </row>
    <row r="58" spans="1:51" ht="10.15" customHeight="1">
      <c r="A58" s="1"/>
      <c r="B58" s="72"/>
      <c r="C58" s="72"/>
      <c r="D58" s="72"/>
      <c r="E58" s="72"/>
      <c r="F58" s="72"/>
      <c r="G58" s="119" t="s">
        <v>41</v>
      </c>
      <c r="H58" s="72"/>
      <c r="I58" s="72"/>
      <c r="J58" s="72"/>
      <c r="K58" s="72"/>
      <c r="L58" s="72"/>
      <c r="M58" s="72"/>
      <c r="N58" s="72"/>
      <c r="O58" s="72"/>
      <c r="P58" s="72"/>
      <c r="Q58" s="72"/>
      <c r="R58" s="72"/>
      <c r="S58" s="72"/>
      <c r="T58" s="72"/>
      <c r="U58" s="72"/>
      <c r="V58" s="72"/>
      <c r="W58" s="1"/>
      <c r="X58" s="1"/>
      <c r="Y58" s="1"/>
      <c r="Z58" s="77" t="s">
        <v>42</v>
      </c>
      <c r="AA58" s="78"/>
      <c r="AB58" s="78"/>
      <c r="AC58" s="78"/>
      <c r="AD58" s="78"/>
      <c r="AE58" s="78"/>
      <c r="AF58" s="78"/>
      <c r="AG58" s="78"/>
      <c r="AH58" s="78"/>
      <c r="AI58" s="78"/>
      <c r="AJ58" s="78"/>
      <c r="AK58" s="79"/>
      <c r="AL58" s="1"/>
      <c r="AM58" s="105"/>
      <c r="AN58" s="106"/>
      <c r="AO58" s="106"/>
      <c r="AP58" s="106"/>
      <c r="AQ58" s="107"/>
      <c r="AR58" s="142"/>
      <c r="AS58" s="142"/>
      <c r="AT58" s="147"/>
      <c r="AU58" s="148"/>
    </row>
    <row r="59" spans="1:51" ht="10.15" customHeight="1">
      <c r="A59" s="1"/>
      <c r="B59" s="133" t="s">
        <v>43</v>
      </c>
      <c r="C59" s="72"/>
      <c r="D59" s="72"/>
      <c r="E59" s="72"/>
      <c r="F59" s="72"/>
      <c r="G59" s="134" t="s">
        <v>44</v>
      </c>
      <c r="H59" s="134"/>
      <c r="I59" s="134"/>
      <c r="J59" s="134"/>
      <c r="K59" s="134"/>
      <c r="L59" s="134"/>
      <c r="M59" s="134"/>
      <c r="N59" s="134"/>
      <c r="O59" s="134"/>
      <c r="P59" s="134"/>
      <c r="Q59" s="134"/>
      <c r="R59" s="134"/>
      <c r="S59" s="134"/>
      <c r="T59" s="1"/>
      <c r="U59" s="1"/>
      <c r="V59" s="1"/>
      <c r="W59" s="1"/>
      <c r="X59" s="1"/>
      <c r="Y59" s="1"/>
      <c r="Z59" s="77"/>
      <c r="AA59" s="72"/>
      <c r="AB59" s="72"/>
      <c r="AC59" s="72"/>
      <c r="AD59" s="72"/>
      <c r="AE59" s="72"/>
      <c r="AF59" s="72"/>
      <c r="AG59" s="72"/>
      <c r="AH59" s="72"/>
      <c r="AI59" s="72"/>
      <c r="AJ59" s="72"/>
      <c r="AK59" s="79"/>
      <c r="AL59" s="1"/>
      <c r="AM59" s="135" t="s">
        <v>45</v>
      </c>
      <c r="AN59" s="136"/>
      <c r="AO59" s="136"/>
      <c r="AP59" s="136"/>
      <c r="AQ59" s="137"/>
      <c r="AR59" s="66">
        <v>12</v>
      </c>
      <c r="AS59" s="66">
        <v>14</v>
      </c>
      <c r="AT59" s="60">
        <f>AR59+AS59</f>
        <v>26</v>
      </c>
      <c r="AU59" s="61"/>
    </row>
    <row r="60" spans="1:51" ht="10.15" customHeight="1">
      <c r="A60" s="1"/>
      <c r="B60" s="72"/>
      <c r="C60" s="72"/>
      <c r="D60" s="72"/>
      <c r="E60" s="72"/>
      <c r="F60" s="72"/>
      <c r="G60" s="119" t="s">
        <v>46</v>
      </c>
      <c r="H60" s="72"/>
      <c r="I60" s="72"/>
      <c r="J60" s="72"/>
      <c r="K60" s="72"/>
      <c r="L60" s="72"/>
      <c r="M60" s="72"/>
      <c r="N60" s="72"/>
      <c r="O60" s="72"/>
      <c r="P60" s="72"/>
      <c r="Q60" s="72"/>
      <c r="R60" s="72"/>
      <c r="S60" s="72"/>
      <c r="T60" s="1"/>
      <c r="U60" s="1"/>
      <c r="V60" s="1"/>
      <c r="W60" s="1"/>
      <c r="X60" s="1"/>
      <c r="Y60" s="1"/>
      <c r="Z60" s="77"/>
      <c r="AA60" s="72"/>
      <c r="AB60" s="72"/>
      <c r="AC60" s="72"/>
      <c r="AD60" s="72"/>
      <c r="AE60" s="72"/>
      <c r="AF60" s="72"/>
      <c r="AG60" s="72"/>
      <c r="AH60" s="72"/>
      <c r="AI60" s="72"/>
      <c r="AJ60" s="72"/>
      <c r="AK60" s="79"/>
      <c r="AL60" s="1"/>
      <c r="AM60" s="120" t="s">
        <v>47</v>
      </c>
      <c r="AN60" s="121"/>
      <c r="AO60" s="121"/>
      <c r="AP60" s="121"/>
      <c r="AQ60" s="122"/>
      <c r="AR60" s="102"/>
      <c r="AS60" s="102"/>
      <c r="AT60" s="103"/>
      <c r="AU60" s="104"/>
    </row>
    <row r="61" spans="1:51" ht="10.15" customHeight="1">
      <c r="A61" s="1"/>
      <c r="B61" s="133" t="s">
        <v>48</v>
      </c>
      <c r="C61" s="72"/>
      <c r="D61" s="72"/>
      <c r="E61" s="72"/>
      <c r="F61" s="72"/>
      <c r="G61" s="134" t="s">
        <v>49</v>
      </c>
      <c r="H61" s="134"/>
      <c r="I61" s="134"/>
      <c r="J61" s="134"/>
      <c r="K61" s="134"/>
      <c r="L61" s="134"/>
      <c r="M61" s="134"/>
      <c r="N61" s="134"/>
      <c r="O61" s="134"/>
      <c r="P61" s="134"/>
      <c r="Q61" s="134"/>
      <c r="R61" s="134"/>
      <c r="S61" s="134"/>
      <c r="T61" s="119" t="s">
        <v>38</v>
      </c>
      <c r="U61" s="72"/>
      <c r="V61" s="72"/>
      <c r="W61" s="1"/>
      <c r="X61" s="1"/>
      <c r="Y61" s="1"/>
      <c r="Z61" s="77"/>
      <c r="AA61" s="78"/>
      <c r="AB61" s="78"/>
      <c r="AC61" s="78"/>
      <c r="AD61" s="78"/>
      <c r="AE61" s="78"/>
      <c r="AF61" s="78"/>
      <c r="AG61" s="78"/>
      <c r="AH61" s="78"/>
      <c r="AI61" s="78"/>
      <c r="AJ61" s="78"/>
      <c r="AK61" s="79"/>
      <c r="AL61" s="1"/>
      <c r="AM61" s="135" t="s">
        <v>50</v>
      </c>
      <c r="AN61" s="136"/>
      <c r="AO61" s="136"/>
      <c r="AP61" s="136"/>
      <c r="AQ61" s="137"/>
      <c r="AR61" s="138">
        <f>AR59/AR53*100</f>
        <v>100</v>
      </c>
      <c r="AS61" s="138">
        <f>AS59/AS53*100</f>
        <v>100</v>
      </c>
      <c r="AT61" s="115">
        <f>AT59/AT53*100</f>
        <v>100</v>
      </c>
      <c r="AU61" s="116"/>
    </row>
    <row r="62" spans="1:51" ht="10.15" customHeight="1">
      <c r="A62" s="1"/>
      <c r="B62" s="72"/>
      <c r="C62" s="72"/>
      <c r="D62" s="72"/>
      <c r="E62" s="72"/>
      <c r="F62" s="72"/>
      <c r="G62" s="119" t="s">
        <v>37</v>
      </c>
      <c r="H62" s="72"/>
      <c r="I62" s="72"/>
      <c r="J62" s="72"/>
      <c r="K62" s="72"/>
      <c r="L62" s="72"/>
      <c r="M62" s="72"/>
      <c r="N62" s="72"/>
      <c r="O62" s="72"/>
      <c r="P62" s="72"/>
      <c r="Q62" s="72"/>
      <c r="R62" s="72"/>
      <c r="S62" s="72"/>
      <c r="T62" s="72"/>
      <c r="U62" s="72"/>
      <c r="V62" s="72"/>
      <c r="W62" s="1"/>
      <c r="X62" s="1"/>
      <c r="Y62" s="1"/>
      <c r="Z62" s="82" t="s">
        <v>51</v>
      </c>
      <c r="AA62" s="83"/>
      <c r="AB62" s="83"/>
      <c r="AC62" s="83"/>
      <c r="AD62" s="83"/>
      <c r="AE62" s="83"/>
      <c r="AF62" s="83"/>
      <c r="AG62" s="83"/>
      <c r="AH62" s="83"/>
      <c r="AI62" s="83"/>
      <c r="AJ62" s="83"/>
      <c r="AK62" s="84"/>
      <c r="AL62" s="1"/>
      <c r="AM62" s="120" t="s">
        <v>47</v>
      </c>
      <c r="AN62" s="121"/>
      <c r="AO62" s="121"/>
      <c r="AP62" s="121"/>
      <c r="AQ62" s="122"/>
      <c r="AR62" s="139"/>
      <c r="AS62" s="139"/>
      <c r="AT62" s="117"/>
      <c r="AU62" s="118"/>
    </row>
    <row r="63" spans="1:51" ht="10.15" customHeight="1">
      <c r="A63" s="1"/>
      <c r="B63" s="1"/>
      <c r="C63" s="1"/>
      <c r="D63" s="1"/>
      <c r="E63" s="1"/>
      <c r="F63" s="1"/>
      <c r="G63" s="1"/>
      <c r="H63" s="1"/>
      <c r="I63" s="1"/>
      <c r="J63" s="1"/>
      <c r="K63" s="1"/>
      <c r="L63" s="1"/>
      <c r="M63" s="1"/>
      <c r="N63" s="1"/>
      <c r="O63" s="1"/>
      <c r="P63" s="1"/>
      <c r="Q63" s="1"/>
      <c r="R63" s="1"/>
      <c r="S63" s="1"/>
      <c r="T63" s="1"/>
      <c r="U63" s="1"/>
      <c r="V63" s="1"/>
      <c r="W63" s="1"/>
      <c r="X63" s="1"/>
      <c r="Y63" s="1"/>
      <c r="Z63" s="77" t="s">
        <v>52</v>
      </c>
      <c r="AA63" s="78"/>
      <c r="AB63" s="78"/>
      <c r="AC63" s="78"/>
      <c r="AD63" s="78"/>
      <c r="AE63" s="78"/>
      <c r="AF63" s="78"/>
      <c r="AG63" s="78"/>
      <c r="AH63" s="78"/>
      <c r="AI63" s="78"/>
      <c r="AJ63" s="78"/>
      <c r="AK63" s="79"/>
      <c r="AL63" s="1"/>
      <c r="AM63" s="123" t="s">
        <v>53</v>
      </c>
      <c r="AN63" s="124"/>
      <c r="AO63" s="124"/>
      <c r="AP63" s="124"/>
      <c r="AQ63" s="125"/>
      <c r="AR63" s="126">
        <f>AO29/AW5</f>
        <v>11.7</v>
      </c>
      <c r="AS63" s="126">
        <f>AO49/AW5</f>
        <v>13.75</v>
      </c>
      <c r="AT63" s="128">
        <f>AO50/AW5</f>
        <v>25.45</v>
      </c>
      <c r="AU63" s="129"/>
    </row>
    <row r="64" spans="1:51" ht="4.9000000000000004" customHeight="1">
      <c r="A64" s="132" t="s">
        <v>54</v>
      </c>
      <c r="B64" s="72"/>
      <c r="C64" s="72"/>
      <c r="D64" s="72"/>
      <c r="E64" s="72"/>
      <c r="F64" s="72"/>
      <c r="G64" s="72"/>
      <c r="H64" s="72"/>
      <c r="I64" s="72"/>
      <c r="J64" s="72"/>
      <c r="K64" s="72"/>
      <c r="L64" s="72"/>
      <c r="M64" s="72"/>
      <c r="N64" s="72"/>
      <c r="O64" s="72"/>
      <c r="P64" s="72"/>
      <c r="Q64" s="72"/>
      <c r="R64" s="72"/>
      <c r="S64" s="72"/>
      <c r="T64" s="72"/>
      <c r="U64" s="72"/>
      <c r="V64" s="72"/>
      <c r="W64" s="72"/>
      <c r="X64" s="72"/>
      <c r="Y64" s="1"/>
      <c r="Z64" s="77"/>
      <c r="AA64" s="72"/>
      <c r="AB64" s="72"/>
      <c r="AC64" s="72"/>
      <c r="AD64" s="72"/>
      <c r="AE64" s="72"/>
      <c r="AF64" s="72"/>
      <c r="AG64" s="72"/>
      <c r="AH64" s="72"/>
      <c r="AI64" s="72"/>
      <c r="AJ64" s="72"/>
      <c r="AK64" s="79"/>
      <c r="AL64" s="1"/>
      <c r="AM64" s="105"/>
      <c r="AN64" s="106"/>
      <c r="AO64" s="106"/>
      <c r="AP64" s="106"/>
      <c r="AQ64" s="107"/>
      <c r="AR64" s="127"/>
      <c r="AS64" s="127"/>
      <c r="AT64" s="130"/>
      <c r="AU64" s="131"/>
    </row>
    <row r="65" spans="1:47" ht="15" customHeight="1">
      <c r="A65" s="72"/>
      <c r="B65" s="72"/>
      <c r="C65" s="72"/>
      <c r="D65" s="72"/>
      <c r="E65" s="72"/>
      <c r="F65" s="72"/>
      <c r="G65" s="72"/>
      <c r="H65" s="72"/>
      <c r="I65" s="72"/>
      <c r="J65" s="72"/>
      <c r="K65" s="72"/>
      <c r="L65" s="72"/>
      <c r="M65" s="72"/>
      <c r="N65" s="72"/>
      <c r="O65" s="72"/>
      <c r="P65" s="72"/>
      <c r="Q65" s="72"/>
      <c r="R65" s="72"/>
      <c r="S65" s="72"/>
      <c r="T65" s="72"/>
      <c r="U65" s="72"/>
      <c r="V65" s="72"/>
      <c r="W65" s="72"/>
      <c r="X65" s="72"/>
      <c r="Y65" s="1"/>
      <c r="Z65" s="77"/>
      <c r="AA65" s="72"/>
      <c r="AB65" s="72"/>
      <c r="AC65" s="72"/>
      <c r="AD65" s="72"/>
      <c r="AE65" s="72"/>
      <c r="AF65" s="72"/>
      <c r="AG65" s="72"/>
      <c r="AH65" s="72"/>
      <c r="AI65" s="72"/>
      <c r="AJ65" s="72"/>
      <c r="AK65" s="79"/>
      <c r="AL65" s="1"/>
      <c r="AM65" s="105" t="s">
        <v>55</v>
      </c>
      <c r="AN65" s="106"/>
      <c r="AO65" s="106"/>
      <c r="AP65" s="106"/>
      <c r="AQ65" s="107"/>
      <c r="AR65" s="38">
        <f>AR63/AR59*100</f>
        <v>97.5</v>
      </c>
      <c r="AS65" s="38">
        <f>AS63/AS59*100</f>
        <v>98.214285714285708</v>
      </c>
      <c r="AT65" s="108">
        <f>AT63/AT59*100</f>
        <v>97.884615384615387</v>
      </c>
      <c r="AU65" s="109"/>
    </row>
    <row r="66" spans="1:47" ht="21" customHeight="1">
      <c r="A66" s="72"/>
      <c r="B66" s="72"/>
      <c r="C66" s="72"/>
      <c r="D66" s="72"/>
      <c r="E66" s="72"/>
      <c r="F66" s="72"/>
      <c r="G66" s="72"/>
      <c r="H66" s="72"/>
      <c r="I66" s="72"/>
      <c r="J66" s="72"/>
      <c r="K66" s="72"/>
      <c r="L66" s="72"/>
      <c r="M66" s="72"/>
      <c r="N66" s="72"/>
      <c r="O66" s="72"/>
      <c r="P66" s="72"/>
      <c r="Q66" s="72"/>
      <c r="R66" s="72"/>
      <c r="S66" s="72"/>
      <c r="T66" s="72"/>
      <c r="U66" s="72"/>
      <c r="V66" s="72"/>
      <c r="W66" s="72"/>
      <c r="X66" s="72"/>
      <c r="Y66" s="1"/>
      <c r="Z66" s="77"/>
      <c r="AA66" s="72"/>
      <c r="AB66" s="72"/>
      <c r="AC66" s="72"/>
      <c r="AD66" s="72"/>
      <c r="AE66" s="72"/>
      <c r="AF66" s="72"/>
      <c r="AG66" s="72"/>
      <c r="AH66" s="72"/>
      <c r="AI66" s="72"/>
      <c r="AJ66" s="72"/>
      <c r="AK66" s="79"/>
      <c r="AL66" s="1"/>
      <c r="AM66" s="105" t="s">
        <v>56</v>
      </c>
      <c r="AN66" s="106"/>
      <c r="AO66" s="106"/>
      <c r="AP66" s="106"/>
      <c r="AQ66" s="107"/>
      <c r="AR66" s="2">
        <v>0</v>
      </c>
      <c r="AS66" s="2">
        <v>0</v>
      </c>
      <c r="AT66" s="110">
        <v>0</v>
      </c>
      <c r="AU66" s="111"/>
    </row>
    <row r="67" spans="1:47" ht="9" customHeight="1">
      <c r="A67" s="72"/>
      <c r="B67" s="72"/>
      <c r="C67" s="72"/>
      <c r="D67" s="72"/>
      <c r="E67" s="72"/>
      <c r="F67" s="72"/>
      <c r="G67" s="72"/>
      <c r="H67" s="72"/>
      <c r="I67" s="72"/>
      <c r="J67" s="72"/>
      <c r="K67" s="72"/>
      <c r="L67" s="72"/>
      <c r="M67" s="72"/>
      <c r="N67" s="72"/>
      <c r="O67" s="72"/>
      <c r="P67" s="72"/>
      <c r="Q67" s="72"/>
      <c r="R67" s="72"/>
      <c r="S67" s="72"/>
      <c r="T67" s="72"/>
      <c r="U67" s="72"/>
      <c r="V67" s="72"/>
      <c r="W67" s="72"/>
      <c r="X67" s="72"/>
      <c r="Y67" s="1"/>
      <c r="Z67" s="77"/>
      <c r="AA67" s="78"/>
      <c r="AB67" s="78"/>
      <c r="AC67" s="78"/>
      <c r="AD67" s="78"/>
      <c r="AE67" s="78"/>
      <c r="AF67" s="78"/>
      <c r="AG67" s="78"/>
      <c r="AH67" s="78"/>
      <c r="AI67" s="78"/>
      <c r="AJ67" s="78"/>
      <c r="AK67" s="79"/>
      <c r="AL67" s="1"/>
      <c r="AM67" s="112" t="s">
        <v>57</v>
      </c>
      <c r="AN67" s="113"/>
      <c r="AO67" s="113"/>
      <c r="AP67" s="113"/>
      <c r="AQ67" s="114"/>
      <c r="AR67" s="66">
        <v>0</v>
      </c>
      <c r="AS67" s="66">
        <v>0</v>
      </c>
      <c r="AT67" s="60">
        <v>0</v>
      </c>
      <c r="AU67" s="61"/>
    </row>
    <row r="68" spans="1:47" ht="4.1500000000000004" customHeight="1">
      <c r="A68" s="1"/>
      <c r="B68" s="68" t="s">
        <v>58</v>
      </c>
      <c r="C68" s="69"/>
      <c r="D68" s="69"/>
      <c r="E68" s="69"/>
      <c r="F68" s="69"/>
      <c r="G68" s="69"/>
      <c r="H68" s="69"/>
      <c r="I68" s="69"/>
      <c r="J68" s="69"/>
      <c r="K68" s="69"/>
      <c r="L68" s="69"/>
      <c r="M68" s="69"/>
      <c r="N68" s="69"/>
      <c r="O68" s="69"/>
      <c r="P68" s="69"/>
      <c r="Q68" s="69"/>
      <c r="R68" s="69"/>
      <c r="S68" s="69"/>
      <c r="T68" s="69"/>
      <c r="U68" s="69"/>
      <c r="V68" s="69"/>
      <c r="W68" s="69"/>
      <c r="X68" s="70"/>
      <c r="Y68" s="1"/>
      <c r="Z68" s="82" t="s">
        <v>59</v>
      </c>
      <c r="AA68" s="83"/>
      <c r="AB68" s="83"/>
      <c r="AC68" s="83"/>
      <c r="AD68" s="83"/>
      <c r="AE68" s="83"/>
      <c r="AF68" s="83"/>
      <c r="AG68" s="83"/>
      <c r="AH68" s="83"/>
      <c r="AI68" s="83"/>
      <c r="AJ68" s="83"/>
      <c r="AK68" s="84"/>
      <c r="AL68" s="1"/>
      <c r="AM68" s="99"/>
      <c r="AN68" s="100"/>
      <c r="AO68" s="100"/>
      <c r="AP68" s="100"/>
      <c r="AQ68" s="101"/>
      <c r="AR68" s="102"/>
      <c r="AS68" s="102"/>
      <c r="AT68" s="103"/>
      <c r="AU68" s="104"/>
    </row>
    <row r="69" spans="1:47" ht="6" customHeight="1">
      <c r="A69" s="1"/>
      <c r="B69" s="71"/>
      <c r="C69" s="72"/>
      <c r="D69" s="72"/>
      <c r="E69" s="72"/>
      <c r="F69" s="72"/>
      <c r="G69" s="72"/>
      <c r="H69" s="72"/>
      <c r="I69" s="72"/>
      <c r="J69" s="72"/>
      <c r="K69" s="72"/>
      <c r="L69" s="72"/>
      <c r="M69" s="72"/>
      <c r="N69" s="72"/>
      <c r="O69" s="72"/>
      <c r="P69" s="72"/>
      <c r="Q69" s="72"/>
      <c r="R69" s="72"/>
      <c r="S69" s="72"/>
      <c r="T69" s="72"/>
      <c r="U69" s="72"/>
      <c r="V69" s="72"/>
      <c r="W69" s="72"/>
      <c r="X69" s="73"/>
      <c r="Y69" s="1"/>
      <c r="Z69" s="82"/>
      <c r="AA69" s="83"/>
      <c r="AB69" s="83"/>
      <c r="AC69" s="83"/>
      <c r="AD69" s="83"/>
      <c r="AE69" s="83"/>
      <c r="AF69" s="83"/>
      <c r="AG69" s="83"/>
      <c r="AH69" s="83"/>
      <c r="AI69" s="83"/>
      <c r="AJ69" s="83"/>
      <c r="AK69" s="84"/>
      <c r="AL69" s="1"/>
      <c r="AM69" s="87" t="s">
        <v>60</v>
      </c>
      <c r="AN69" s="88"/>
      <c r="AO69" s="88"/>
      <c r="AP69" s="88"/>
      <c r="AQ69" s="89"/>
      <c r="AR69" s="66">
        <v>1</v>
      </c>
      <c r="AS69" s="66">
        <v>0</v>
      </c>
      <c r="AT69" s="60">
        <v>0</v>
      </c>
      <c r="AU69" s="61"/>
    </row>
    <row r="70" spans="1:47" ht="7.15" customHeight="1">
      <c r="A70" s="1"/>
      <c r="B70" s="71"/>
      <c r="C70" s="72"/>
      <c r="D70" s="72"/>
      <c r="E70" s="72"/>
      <c r="F70" s="72"/>
      <c r="G70" s="72"/>
      <c r="H70" s="72"/>
      <c r="I70" s="72"/>
      <c r="J70" s="72"/>
      <c r="K70" s="72"/>
      <c r="L70" s="72"/>
      <c r="M70" s="72"/>
      <c r="N70" s="72"/>
      <c r="O70" s="72"/>
      <c r="P70" s="72"/>
      <c r="Q70" s="72"/>
      <c r="R70" s="72"/>
      <c r="S70" s="72"/>
      <c r="T70" s="72"/>
      <c r="U70" s="72"/>
      <c r="V70" s="72"/>
      <c r="W70" s="72"/>
      <c r="X70" s="73"/>
      <c r="Y70" s="1"/>
      <c r="Z70" s="77" t="s">
        <v>61</v>
      </c>
      <c r="AA70" s="78"/>
      <c r="AB70" s="78"/>
      <c r="AC70" s="78"/>
      <c r="AD70" s="78"/>
      <c r="AE70" s="78"/>
      <c r="AF70" s="78"/>
      <c r="AG70" s="78"/>
      <c r="AH70" s="78"/>
      <c r="AI70" s="78"/>
      <c r="AJ70" s="78"/>
      <c r="AK70" s="79"/>
      <c r="AL70" s="1"/>
      <c r="AM70" s="99"/>
      <c r="AN70" s="100"/>
      <c r="AO70" s="100"/>
      <c r="AP70" s="100"/>
      <c r="AQ70" s="101"/>
      <c r="AR70" s="102"/>
      <c r="AS70" s="102"/>
      <c r="AT70" s="103"/>
      <c r="AU70" s="104"/>
    </row>
    <row r="71" spans="1:47" ht="3" customHeight="1">
      <c r="A71" s="1"/>
      <c r="B71" s="74"/>
      <c r="C71" s="75"/>
      <c r="D71" s="75"/>
      <c r="E71" s="75"/>
      <c r="F71" s="75"/>
      <c r="G71" s="75"/>
      <c r="H71" s="75"/>
      <c r="I71" s="75"/>
      <c r="J71" s="75"/>
      <c r="K71" s="75"/>
      <c r="L71" s="75"/>
      <c r="M71" s="75"/>
      <c r="N71" s="75"/>
      <c r="O71" s="75"/>
      <c r="P71" s="75"/>
      <c r="Q71" s="75"/>
      <c r="R71" s="75"/>
      <c r="S71" s="75"/>
      <c r="T71" s="75"/>
      <c r="U71" s="75"/>
      <c r="V71" s="75"/>
      <c r="W71" s="75"/>
      <c r="X71" s="76"/>
      <c r="Y71" s="1"/>
      <c r="Z71" s="77"/>
      <c r="AA71" s="72"/>
      <c r="AB71" s="72"/>
      <c r="AC71" s="72"/>
      <c r="AD71" s="72"/>
      <c r="AE71" s="72"/>
      <c r="AF71" s="72"/>
      <c r="AG71" s="72"/>
      <c r="AH71" s="72"/>
      <c r="AI71" s="72"/>
      <c r="AJ71" s="72"/>
      <c r="AK71" s="79"/>
      <c r="AL71" s="1"/>
      <c r="AM71" s="87" t="s">
        <v>62</v>
      </c>
      <c r="AN71" s="88"/>
      <c r="AO71" s="88"/>
      <c r="AP71" s="88"/>
      <c r="AQ71" s="89"/>
      <c r="AR71" s="66">
        <v>0</v>
      </c>
      <c r="AS71" s="66">
        <v>0</v>
      </c>
      <c r="AT71" s="60">
        <v>0</v>
      </c>
      <c r="AU71" s="61"/>
    </row>
    <row r="72" spans="1:47" ht="10.15" customHeight="1" thickBot="1">
      <c r="A72" s="1"/>
      <c r="B72" s="1"/>
      <c r="C72" s="1"/>
      <c r="D72" s="1"/>
      <c r="E72" s="1"/>
      <c r="F72" s="1"/>
      <c r="G72" s="1"/>
      <c r="H72" s="1"/>
      <c r="I72" s="1"/>
      <c r="J72" s="1"/>
      <c r="K72" s="1"/>
      <c r="L72" s="1"/>
      <c r="M72" s="1"/>
      <c r="N72" s="1"/>
      <c r="O72" s="1"/>
      <c r="P72" s="1"/>
      <c r="Q72" s="1"/>
      <c r="R72" s="1"/>
      <c r="S72" s="1"/>
      <c r="T72" s="1"/>
      <c r="U72" s="1"/>
      <c r="V72" s="1"/>
      <c r="W72" s="1"/>
      <c r="X72" s="1"/>
      <c r="Y72" s="1"/>
      <c r="Z72" s="77"/>
      <c r="AA72" s="72"/>
      <c r="AB72" s="72"/>
      <c r="AC72" s="72"/>
      <c r="AD72" s="72"/>
      <c r="AE72" s="72"/>
      <c r="AF72" s="72"/>
      <c r="AG72" s="72"/>
      <c r="AH72" s="72"/>
      <c r="AI72" s="72"/>
      <c r="AJ72" s="72"/>
      <c r="AK72" s="79"/>
      <c r="AL72" s="1"/>
      <c r="AM72" s="90"/>
      <c r="AN72" s="91"/>
      <c r="AO72" s="91"/>
      <c r="AP72" s="91"/>
      <c r="AQ72" s="92"/>
      <c r="AR72" s="67"/>
      <c r="AS72" s="67"/>
      <c r="AT72" s="62"/>
      <c r="AU72" s="63"/>
    </row>
    <row r="73" spans="1:47" ht="10.15" customHeight="1">
      <c r="A73" s="1"/>
      <c r="B73" s="1"/>
      <c r="C73" s="1"/>
      <c r="D73" s="1"/>
      <c r="E73" s="1"/>
      <c r="F73" s="1"/>
      <c r="G73" s="1"/>
      <c r="H73" s="1"/>
      <c r="I73" s="1"/>
      <c r="J73" s="1"/>
      <c r="K73" s="1"/>
      <c r="L73" s="1"/>
      <c r="M73" s="1"/>
      <c r="N73" s="1"/>
      <c r="O73" s="1"/>
      <c r="P73" s="1"/>
      <c r="Q73" s="1"/>
      <c r="R73" s="1"/>
      <c r="S73" s="1"/>
      <c r="T73" s="1"/>
      <c r="U73" s="1"/>
      <c r="V73" s="1"/>
      <c r="W73" s="1"/>
      <c r="X73" s="1"/>
      <c r="Y73" s="1"/>
      <c r="Z73" s="77"/>
      <c r="AA73" s="78"/>
      <c r="AB73" s="78"/>
      <c r="AC73" s="78"/>
      <c r="AD73" s="78"/>
      <c r="AE73" s="78"/>
      <c r="AF73" s="78"/>
      <c r="AG73" s="78"/>
      <c r="AH73" s="78"/>
      <c r="AI73" s="78"/>
      <c r="AJ73" s="78"/>
      <c r="AK73" s="79"/>
      <c r="AL73" s="1"/>
      <c r="AM73" s="1"/>
      <c r="AN73" s="1"/>
      <c r="AO73" s="1"/>
      <c r="AP73" s="1"/>
      <c r="AQ73" s="1"/>
      <c r="AR73" s="1"/>
      <c r="AS73" s="1"/>
      <c r="AT73" s="1"/>
      <c r="AU73" s="1"/>
    </row>
    <row r="74" spans="1:47" ht="10.15" customHeight="1">
      <c r="A74" s="1"/>
      <c r="B74" s="1"/>
      <c r="C74" s="1"/>
      <c r="D74" s="1"/>
      <c r="E74" s="1"/>
      <c r="F74" s="1"/>
      <c r="G74" s="1"/>
      <c r="H74" s="1"/>
      <c r="I74" s="1"/>
      <c r="J74" s="1"/>
      <c r="K74" s="1"/>
      <c r="L74" s="1"/>
      <c r="M74" s="1"/>
      <c r="N74" s="1"/>
      <c r="O74" s="1"/>
      <c r="P74" s="1"/>
      <c r="Q74" s="1"/>
      <c r="R74" s="1"/>
      <c r="S74" s="1"/>
      <c r="T74" s="1"/>
      <c r="U74" s="1"/>
      <c r="V74" s="1"/>
      <c r="W74" s="1"/>
      <c r="X74" s="1"/>
      <c r="Y74" s="1"/>
      <c r="Z74" s="82" t="s">
        <v>63</v>
      </c>
      <c r="AA74" s="83"/>
      <c r="AB74" s="83"/>
      <c r="AC74" s="83"/>
      <c r="AD74" s="83"/>
      <c r="AE74" s="83"/>
      <c r="AF74" s="83"/>
      <c r="AG74" s="83"/>
      <c r="AH74" s="83"/>
      <c r="AI74" s="83"/>
      <c r="AJ74" s="83"/>
      <c r="AK74" s="84"/>
      <c r="AL74" s="1"/>
      <c r="AM74" s="85" t="s">
        <v>64</v>
      </c>
      <c r="AN74" s="72"/>
      <c r="AO74" s="72"/>
      <c r="AP74" s="72"/>
      <c r="AQ74" s="72"/>
      <c r="AR74" s="72"/>
      <c r="AS74" s="72"/>
      <c r="AT74" s="72"/>
      <c r="AU74" s="72"/>
    </row>
    <row r="75" spans="1:47" ht="10.15" customHeight="1">
      <c r="A75" s="1"/>
      <c r="B75" s="1"/>
      <c r="C75" s="1"/>
      <c r="D75" s="1"/>
      <c r="E75" s="1"/>
      <c r="F75" s="1"/>
      <c r="G75" s="1"/>
      <c r="H75" s="1"/>
      <c r="I75" s="1"/>
      <c r="J75" s="1"/>
      <c r="K75" s="1"/>
      <c r="L75" s="1"/>
      <c r="M75" s="1"/>
      <c r="N75" s="1"/>
      <c r="O75" s="1"/>
      <c r="P75" s="1"/>
      <c r="Q75" s="1"/>
      <c r="R75" s="1"/>
      <c r="S75" s="1"/>
      <c r="T75" s="1"/>
      <c r="U75" s="1"/>
      <c r="V75" s="1"/>
      <c r="W75" s="1"/>
      <c r="X75" s="1"/>
      <c r="Y75" s="1"/>
      <c r="Z75" s="77" t="s">
        <v>65</v>
      </c>
      <c r="AA75" s="78"/>
      <c r="AB75" s="78"/>
      <c r="AC75" s="78"/>
      <c r="AD75" s="78"/>
      <c r="AE75" s="78"/>
      <c r="AF75" s="78"/>
      <c r="AG75" s="78"/>
      <c r="AH75" s="78"/>
      <c r="AI75" s="78"/>
      <c r="AJ75" s="78"/>
      <c r="AK75" s="79"/>
      <c r="AL75" s="1"/>
      <c r="AM75" s="72"/>
      <c r="AN75" s="72"/>
      <c r="AO75" s="72"/>
      <c r="AP75" s="72"/>
      <c r="AQ75" s="72"/>
      <c r="AR75" s="72"/>
      <c r="AS75" s="72"/>
      <c r="AT75" s="72"/>
      <c r="AU75" s="72"/>
    </row>
    <row r="76" spans="1:47" ht="19.899999999999999" customHeight="1">
      <c r="A76" s="1"/>
      <c r="B76" s="1"/>
      <c r="C76" s="1"/>
      <c r="D76" s="1"/>
      <c r="E76" s="1"/>
      <c r="F76" s="1"/>
      <c r="G76" s="1"/>
      <c r="H76" s="1"/>
      <c r="I76" s="1"/>
      <c r="J76" s="1"/>
      <c r="K76" s="1"/>
      <c r="L76" s="1"/>
      <c r="M76" s="1"/>
      <c r="N76" s="1"/>
      <c r="O76" s="1"/>
      <c r="P76" s="1"/>
      <c r="Q76" s="1"/>
      <c r="R76" s="1"/>
      <c r="S76" s="1"/>
      <c r="T76" s="1"/>
      <c r="U76" s="1"/>
      <c r="V76" s="1"/>
      <c r="W76" s="1"/>
      <c r="X76" s="1"/>
      <c r="Y76" s="1"/>
      <c r="Z76" s="77"/>
      <c r="AA76" s="78"/>
      <c r="AB76" s="78"/>
      <c r="AC76" s="78"/>
      <c r="AD76" s="78"/>
      <c r="AE76" s="78"/>
      <c r="AF76" s="78"/>
      <c r="AG76" s="78"/>
      <c r="AH76" s="78"/>
      <c r="AI76" s="78"/>
      <c r="AJ76" s="78"/>
      <c r="AK76" s="79"/>
      <c r="AL76" s="1"/>
      <c r="AM76" s="1"/>
      <c r="AN76" s="86" t="s">
        <v>130</v>
      </c>
      <c r="AO76" s="86"/>
      <c r="AP76" s="86"/>
      <c r="AQ76" s="86"/>
      <c r="AR76" s="86"/>
      <c r="AS76" s="86"/>
      <c r="AT76" s="86"/>
      <c r="AU76" s="86"/>
    </row>
    <row r="77" spans="1:47" ht="10.15" customHeight="1" thickBot="1">
      <c r="A77" s="1"/>
      <c r="B77" s="1"/>
      <c r="C77" s="1"/>
      <c r="D77" s="1"/>
      <c r="E77" s="1"/>
      <c r="F77" s="1"/>
      <c r="G77" s="1"/>
      <c r="H77" s="1"/>
      <c r="I77" s="1"/>
      <c r="J77" s="1"/>
      <c r="K77" s="1"/>
      <c r="L77" s="1"/>
      <c r="M77" s="1"/>
      <c r="N77" s="1"/>
      <c r="O77" s="1"/>
      <c r="P77" s="1"/>
      <c r="Q77" s="1"/>
      <c r="R77" s="1"/>
      <c r="S77" s="1"/>
      <c r="T77" s="1"/>
      <c r="U77" s="1"/>
      <c r="V77" s="1"/>
      <c r="W77" s="1"/>
      <c r="X77" s="1"/>
      <c r="Y77" s="1"/>
      <c r="Z77" s="82" t="s">
        <v>66</v>
      </c>
      <c r="AA77" s="83"/>
      <c r="AB77" s="83"/>
      <c r="AC77" s="83"/>
      <c r="AD77" s="83"/>
      <c r="AE77" s="83"/>
      <c r="AF77" s="83"/>
      <c r="AG77" s="83"/>
      <c r="AH77" s="83"/>
      <c r="AI77" s="83"/>
      <c r="AJ77" s="83"/>
      <c r="AK77" s="84"/>
      <c r="AL77" s="1"/>
      <c r="AM77" s="1"/>
      <c r="AN77" s="65"/>
      <c r="AO77" s="65"/>
      <c r="AP77" s="65"/>
      <c r="AQ77" s="65"/>
      <c r="AR77" s="65"/>
      <c r="AS77" s="65"/>
      <c r="AT77" s="65"/>
      <c r="AU77" s="65"/>
    </row>
    <row r="78" spans="1:47" ht="10.15" customHeight="1">
      <c r="A78" s="1"/>
      <c r="B78" s="1"/>
      <c r="C78" s="1"/>
      <c r="D78" s="1"/>
      <c r="E78" s="1"/>
      <c r="F78" s="1"/>
      <c r="G78" s="1"/>
      <c r="H78" s="1"/>
      <c r="I78" s="1"/>
      <c r="J78" s="1"/>
      <c r="K78" s="1"/>
      <c r="L78" s="1"/>
      <c r="M78" s="1"/>
      <c r="N78" s="1"/>
      <c r="O78" s="1"/>
      <c r="P78" s="1"/>
      <c r="Q78" s="1"/>
      <c r="R78" s="1"/>
      <c r="S78" s="1"/>
      <c r="T78" s="1"/>
      <c r="U78" s="1"/>
      <c r="V78" s="1"/>
      <c r="W78" s="1"/>
      <c r="X78" s="1"/>
      <c r="Y78" s="1"/>
      <c r="Z78" s="77" t="s">
        <v>67</v>
      </c>
      <c r="AA78" s="78"/>
      <c r="AB78" s="78"/>
      <c r="AC78" s="78"/>
      <c r="AD78" s="78"/>
      <c r="AE78" s="78"/>
      <c r="AF78" s="78"/>
      <c r="AG78" s="78"/>
      <c r="AH78" s="78"/>
      <c r="AI78" s="78"/>
      <c r="AJ78" s="78"/>
      <c r="AK78" s="79"/>
      <c r="AL78" s="1"/>
      <c r="AM78" s="1"/>
      <c r="AN78" s="81" t="s">
        <v>68</v>
      </c>
      <c r="AO78" s="72"/>
      <c r="AP78" s="72"/>
      <c r="AQ78" s="72"/>
      <c r="AR78" s="72"/>
      <c r="AS78" s="72"/>
      <c r="AT78" s="72"/>
      <c r="AU78" s="72"/>
    </row>
    <row r="79" spans="1:47" ht="10.15" customHeight="1">
      <c r="A79" s="1"/>
      <c r="B79" s="1"/>
      <c r="C79" s="1"/>
      <c r="D79" s="1"/>
      <c r="E79" s="1"/>
      <c r="F79" s="1"/>
      <c r="G79" s="1"/>
      <c r="H79" s="1"/>
      <c r="I79" s="1"/>
      <c r="J79" s="1"/>
      <c r="K79" s="1"/>
      <c r="L79" s="1"/>
      <c r="M79" s="1"/>
      <c r="N79" s="1"/>
      <c r="O79" s="1"/>
      <c r="P79" s="1"/>
      <c r="Q79" s="1"/>
      <c r="R79" s="1"/>
      <c r="S79" s="1"/>
      <c r="T79" s="1"/>
      <c r="U79" s="1"/>
      <c r="V79" s="1"/>
      <c r="W79" s="1"/>
      <c r="X79" s="1"/>
      <c r="Y79" s="1"/>
      <c r="Z79" s="93" t="s">
        <v>69</v>
      </c>
      <c r="AA79" s="94"/>
      <c r="AB79" s="94"/>
      <c r="AC79" s="94"/>
      <c r="AD79" s="94"/>
      <c r="AE79" s="94"/>
      <c r="AF79" s="94"/>
      <c r="AG79" s="94"/>
      <c r="AH79" s="94"/>
      <c r="AI79" s="94"/>
      <c r="AJ79" s="94"/>
      <c r="AK79" s="95"/>
      <c r="AL79" s="1"/>
      <c r="AM79" s="1"/>
      <c r="AN79" s="72"/>
      <c r="AO79" s="72"/>
      <c r="AP79" s="72"/>
      <c r="AQ79" s="72"/>
      <c r="AR79" s="72"/>
      <c r="AS79" s="72"/>
      <c r="AT79" s="72"/>
      <c r="AU79" s="72"/>
    </row>
    <row r="80" spans="1:47" ht="10.9" customHeight="1">
      <c r="A80" s="1"/>
      <c r="B80" s="1"/>
      <c r="C80" s="1"/>
      <c r="D80" s="1"/>
      <c r="E80" s="1"/>
      <c r="F80" s="1"/>
      <c r="G80" s="1"/>
      <c r="H80" s="1"/>
      <c r="I80" s="1"/>
      <c r="J80" s="1"/>
      <c r="K80" s="1"/>
      <c r="L80" s="1"/>
      <c r="M80" s="1"/>
      <c r="N80" s="1"/>
      <c r="O80" s="1"/>
      <c r="P80" s="1"/>
      <c r="Q80" s="1"/>
      <c r="R80" s="1"/>
      <c r="S80" s="1"/>
      <c r="T80" s="1"/>
      <c r="U80" s="1"/>
      <c r="V80" s="1"/>
      <c r="W80" s="1"/>
      <c r="X80" s="1"/>
      <c r="Y80" s="1"/>
      <c r="Z80" s="96"/>
      <c r="AA80" s="97"/>
      <c r="AB80" s="97"/>
      <c r="AC80" s="97"/>
      <c r="AD80" s="97"/>
      <c r="AE80" s="97"/>
      <c r="AF80" s="97"/>
      <c r="AG80" s="97"/>
      <c r="AH80" s="97"/>
      <c r="AI80" s="97"/>
      <c r="AJ80" s="97"/>
      <c r="AK80" s="98"/>
      <c r="AL80" s="1"/>
      <c r="AM80" s="85" t="s">
        <v>70</v>
      </c>
      <c r="AN80" s="72"/>
      <c r="AO80" s="72"/>
      <c r="AP80" s="72"/>
      <c r="AQ80" s="72"/>
      <c r="AR80" s="72"/>
      <c r="AS80" s="72"/>
      <c r="AT80" s="72"/>
      <c r="AU80" s="72"/>
    </row>
    <row r="81" spans="1:47" ht="9"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72"/>
      <c r="AN81" s="72"/>
      <c r="AO81" s="72"/>
      <c r="AP81" s="72"/>
      <c r="AQ81" s="72"/>
      <c r="AR81" s="72"/>
      <c r="AS81" s="72"/>
      <c r="AT81" s="72"/>
      <c r="AU81" s="72"/>
    </row>
    <row r="82" spans="1:47" ht="22.9" customHeight="1" thickBot="1">
      <c r="A82" s="1"/>
      <c r="B82" s="1"/>
      <c r="C82" s="1"/>
      <c r="D82" s="1"/>
      <c r="E82" s="1"/>
      <c r="F82" s="1"/>
      <c r="G82" s="1"/>
      <c r="H82" s="1"/>
      <c r="I82" s="1"/>
      <c r="J82" s="1"/>
      <c r="K82" s="1"/>
      <c r="L82" s="1"/>
      <c r="M82" s="1"/>
      <c r="N82" s="1"/>
      <c r="O82" s="1"/>
      <c r="P82" s="1"/>
      <c r="Q82" s="1"/>
      <c r="R82" s="1"/>
      <c r="S82" s="1"/>
      <c r="T82" s="1"/>
      <c r="U82" s="1"/>
      <c r="V82" s="1"/>
      <c r="W82" s="1"/>
      <c r="X82" s="1"/>
      <c r="Y82" s="1"/>
      <c r="Z82" s="64" t="s">
        <v>130</v>
      </c>
      <c r="AA82" s="64"/>
      <c r="AB82" s="64"/>
      <c r="AC82" s="64"/>
      <c r="AD82" s="64"/>
      <c r="AE82" s="64"/>
      <c r="AF82" s="64"/>
      <c r="AG82" s="64"/>
      <c r="AH82" s="64"/>
      <c r="AI82" s="64"/>
      <c r="AJ82" s="64"/>
      <c r="AK82" s="64"/>
      <c r="AL82" s="1"/>
      <c r="AM82" s="1"/>
      <c r="AN82" s="65" t="s">
        <v>128</v>
      </c>
      <c r="AO82" s="65"/>
      <c r="AP82" s="65"/>
      <c r="AQ82" s="65"/>
      <c r="AR82" s="65"/>
      <c r="AS82" s="65"/>
      <c r="AT82" s="65"/>
      <c r="AU82" s="1"/>
    </row>
    <row r="83" spans="1:47" ht="10.15" customHeight="1">
      <c r="A83" s="1"/>
      <c r="B83" s="1"/>
      <c r="C83" s="1"/>
      <c r="D83" s="1"/>
      <c r="E83" s="1"/>
      <c r="F83" s="1"/>
      <c r="G83" s="1"/>
      <c r="H83" s="1"/>
      <c r="I83" s="1"/>
      <c r="J83" s="1"/>
      <c r="K83" s="1"/>
      <c r="L83" s="1"/>
      <c r="M83" s="1"/>
      <c r="N83" s="1"/>
      <c r="O83" s="1"/>
      <c r="P83" s="1"/>
      <c r="Q83" s="1"/>
      <c r="R83" s="1"/>
      <c r="S83" s="1"/>
      <c r="T83" s="1"/>
      <c r="U83" s="1"/>
      <c r="V83" s="1"/>
      <c r="W83" s="1"/>
      <c r="X83" s="1"/>
      <c r="Y83" s="1"/>
      <c r="Z83" s="80" t="s">
        <v>71</v>
      </c>
      <c r="AA83" s="80"/>
      <c r="AB83" s="80"/>
      <c r="AC83" s="80"/>
      <c r="AD83" s="80"/>
      <c r="AE83" s="80"/>
      <c r="AF83" s="80"/>
      <c r="AG83" s="80"/>
      <c r="AH83" s="80"/>
      <c r="AI83" s="80"/>
      <c r="AJ83" s="80"/>
      <c r="AK83" s="80"/>
      <c r="AL83" s="1"/>
      <c r="AM83" s="1"/>
      <c r="AN83" s="81" t="s">
        <v>72</v>
      </c>
      <c r="AO83" s="72"/>
      <c r="AP83" s="72"/>
      <c r="AQ83" s="72"/>
      <c r="AR83" s="72"/>
      <c r="AS83" s="72"/>
      <c r="AT83" s="72"/>
      <c r="AU83" s="72"/>
    </row>
  </sheetData>
  <mergeCells count="681">
    <mergeCell ref="A1:AU1"/>
    <mergeCell ref="A2:AU2"/>
    <mergeCell ref="A3:D3"/>
    <mergeCell ref="F3:I3"/>
    <mergeCell ref="J3:L3"/>
    <mergeCell ref="M3:R3"/>
    <mergeCell ref="S3:Z3"/>
    <mergeCell ref="AA3:AG3"/>
    <mergeCell ref="A4:D4"/>
    <mergeCell ref="F4:R4"/>
    <mergeCell ref="S4:Z4"/>
    <mergeCell ref="AA4:AG4"/>
    <mergeCell ref="AI4:AL4"/>
    <mergeCell ref="AM4:AU4"/>
    <mergeCell ref="AW4:AY4"/>
    <mergeCell ref="A5:B7"/>
    <mergeCell ref="C5:E7"/>
    <mergeCell ref="F5:AL5"/>
    <mergeCell ref="AM5:AP6"/>
    <mergeCell ref="AQ5:AU7"/>
    <mergeCell ref="AW5:AY6"/>
    <mergeCell ref="F6:G6"/>
    <mergeCell ref="L6:M6"/>
    <mergeCell ref="R6:S6"/>
    <mergeCell ref="V6:W6"/>
    <mergeCell ref="X6:Y6"/>
    <mergeCell ref="Z6:AA6"/>
    <mergeCell ref="AG6:AH6"/>
    <mergeCell ref="AK6:AL6"/>
    <mergeCell ref="F7:G7"/>
    <mergeCell ref="L7:M7"/>
    <mergeCell ref="R7:S7"/>
    <mergeCell ref="V7:W7"/>
    <mergeCell ref="X7:Y7"/>
    <mergeCell ref="Z7:AA7"/>
    <mergeCell ref="AG7:AH7"/>
    <mergeCell ref="AK7:AL7"/>
    <mergeCell ref="AM7:AN7"/>
    <mergeCell ref="AO7:AP7"/>
    <mergeCell ref="A8:B8"/>
    <mergeCell ref="C8:E8"/>
    <mergeCell ref="F8:G8"/>
    <mergeCell ref="L8:M8"/>
    <mergeCell ref="R8:S8"/>
    <mergeCell ref="V8:W8"/>
    <mergeCell ref="X8:Y8"/>
    <mergeCell ref="Z8:AA8"/>
    <mergeCell ref="AG8:AH8"/>
    <mergeCell ref="AK8:AL8"/>
    <mergeCell ref="AM8:AN8"/>
    <mergeCell ref="AO8:AP8"/>
    <mergeCell ref="AQ8:AU8"/>
    <mergeCell ref="A9:B9"/>
    <mergeCell ref="C9:E9"/>
    <mergeCell ref="F9:G9"/>
    <mergeCell ref="L9:M9"/>
    <mergeCell ref="R9:S9"/>
    <mergeCell ref="V9:W9"/>
    <mergeCell ref="X9:Y9"/>
    <mergeCell ref="Z9:AA9"/>
    <mergeCell ref="AG9:AH9"/>
    <mergeCell ref="AK9:AL9"/>
    <mergeCell ref="AM9:AN9"/>
    <mergeCell ref="AO9:AP9"/>
    <mergeCell ref="AQ9:AU9"/>
    <mergeCell ref="A10:B10"/>
    <mergeCell ref="C10:E10"/>
    <mergeCell ref="F10:G10"/>
    <mergeCell ref="L10:M10"/>
    <mergeCell ref="R10:S10"/>
    <mergeCell ref="V10:W10"/>
    <mergeCell ref="X10:Y10"/>
    <mergeCell ref="Z10:AA10"/>
    <mergeCell ref="AG10:AH10"/>
    <mergeCell ref="AK10:AL10"/>
    <mergeCell ref="AM10:AN10"/>
    <mergeCell ref="AO10:AP10"/>
    <mergeCell ref="AQ10:AU10"/>
    <mergeCell ref="A11:B11"/>
    <mergeCell ref="C11:E11"/>
    <mergeCell ref="F11:G11"/>
    <mergeCell ref="L11:M11"/>
    <mergeCell ref="R11:S11"/>
    <mergeCell ref="V11:W11"/>
    <mergeCell ref="X11:Y11"/>
    <mergeCell ref="Z11:AA11"/>
    <mergeCell ref="AG11:AH11"/>
    <mergeCell ref="AK11:AL11"/>
    <mergeCell ref="AM11:AN11"/>
    <mergeCell ref="AO11:AP11"/>
    <mergeCell ref="AQ11:AU11"/>
    <mergeCell ref="A12:B12"/>
    <mergeCell ref="C12:E12"/>
    <mergeCell ref="F12:G12"/>
    <mergeCell ref="L12:M12"/>
    <mergeCell ref="R12:S12"/>
    <mergeCell ref="V12:W12"/>
    <mergeCell ref="X12:Y12"/>
    <mergeCell ref="Z12:AA12"/>
    <mergeCell ref="AG12:AH12"/>
    <mergeCell ref="AK12:AL12"/>
    <mergeCell ref="AM12:AN12"/>
    <mergeCell ref="AO12:AP12"/>
    <mergeCell ref="AQ12:AU12"/>
    <mergeCell ref="A13:B13"/>
    <mergeCell ref="C13:E13"/>
    <mergeCell ref="F13:G13"/>
    <mergeCell ref="L13:M13"/>
    <mergeCell ref="R13:S13"/>
    <mergeCell ref="V13:W13"/>
    <mergeCell ref="X13:Y13"/>
    <mergeCell ref="Z13:AA13"/>
    <mergeCell ref="AG13:AH13"/>
    <mergeCell ref="AK13:AL13"/>
    <mergeCell ref="AM13:AN13"/>
    <mergeCell ref="AO13:AP13"/>
    <mergeCell ref="AQ13:AU13"/>
    <mergeCell ref="A14:B14"/>
    <mergeCell ref="C14:E14"/>
    <mergeCell ref="F14:G14"/>
    <mergeCell ref="L14:M14"/>
    <mergeCell ref="R14:S14"/>
    <mergeCell ref="V14:W14"/>
    <mergeCell ref="X14:Y14"/>
    <mergeCell ref="Z14:AA14"/>
    <mergeCell ref="AG14:AH14"/>
    <mergeCell ref="AK14:AL14"/>
    <mergeCell ref="AM14:AN14"/>
    <mergeCell ref="AO14:AP14"/>
    <mergeCell ref="AQ14:AU14"/>
    <mergeCell ref="A15:B15"/>
    <mergeCell ref="C15:E15"/>
    <mergeCell ref="F15:G15"/>
    <mergeCell ref="L15:M15"/>
    <mergeCell ref="R15:S15"/>
    <mergeCell ref="V15:W15"/>
    <mergeCell ref="X15:Y15"/>
    <mergeCell ref="Z15:AA15"/>
    <mergeCell ref="AG15:AH15"/>
    <mergeCell ref="AK15:AL15"/>
    <mergeCell ref="AM15:AN15"/>
    <mergeCell ref="AO15:AP15"/>
    <mergeCell ref="AQ15:AU15"/>
    <mergeCell ref="A16:B16"/>
    <mergeCell ref="C16:E16"/>
    <mergeCell ref="F16:G16"/>
    <mergeCell ref="L16:M16"/>
    <mergeCell ref="R16:S16"/>
    <mergeCell ref="V16:W16"/>
    <mergeCell ref="X16:Y16"/>
    <mergeCell ref="Z16:AA16"/>
    <mergeCell ref="AG16:AH16"/>
    <mergeCell ref="AK16:AL16"/>
    <mergeCell ref="AM16:AN16"/>
    <mergeCell ref="AO16:AP16"/>
    <mergeCell ref="AQ16:AU16"/>
    <mergeCell ref="A17:B17"/>
    <mergeCell ref="C17:E17"/>
    <mergeCell ref="F17:G17"/>
    <mergeCell ref="L17:M17"/>
    <mergeCell ref="R17:S17"/>
    <mergeCell ref="V17:W17"/>
    <mergeCell ref="X17:Y17"/>
    <mergeCell ref="Z17:AA17"/>
    <mergeCell ref="AG17:AH17"/>
    <mergeCell ref="AK17:AL17"/>
    <mergeCell ref="AM17:AN17"/>
    <mergeCell ref="AO17:AP17"/>
    <mergeCell ref="AQ17:AU17"/>
    <mergeCell ref="A18:B18"/>
    <mergeCell ref="C18:E18"/>
    <mergeCell ref="F18:G18"/>
    <mergeCell ref="L18:M18"/>
    <mergeCell ref="R18:S18"/>
    <mergeCell ref="V18:W18"/>
    <mergeCell ref="X18:Y18"/>
    <mergeCell ref="Z18:AA18"/>
    <mergeCell ref="AG18:AH18"/>
    <mergeCell ref="AK18:AL18"/>
    <mergeCell ref="AM18:AN18"/>
    <mergeCell ref="AO18:AP18"/>
    <mergeCell ref="AQ18:AU18"/>
    <mergeCell ref="A19:B19"/>
    <mergeCell ref="C19:E19"/>
    <mergeCell ref="F19:G19"/>
    <mergeCell ref="L19:M19"/>
    <mergeCell ref="R19:S19"/>
    <mergeCell ref="V19:W19"/>
    <mergeCell ref="X19:Y19"/>
    <mergeCell ref="Z19:AA19"/>
    <mergeCell ref="AG19:AH19"/>
    <mergeCell ref="AK19:AL19"/>
    <mergeCell ref="AM19:AN19"/>
    <mergeCell ref="AO19:AP19"/>
    <mergeCell ref="AQ19:AU19"/>
    <mergeCell ref="A20:B20"/>
    <mergeCell ref="C20:E20"/>
    <mergeCell ref="F20:G20"/>
    <mergeCell ref="L20:M20"/>
    <mergeCell ref="R20:S20"/>
    <mergeCell ref="V20:W20"/>
    <mergeCell ref="X20:Y20"/>
    <mergeCell ref="Z20:AA20"/>
    <mergeCell ref="AG20:AH20"/>
    <mergeCell ref="AK20:AL20"/>
    <mergeCell ref="AM20:AN20"/>
    <mergeCell ref="AO20:AP20"/>
    <mergeCell ref="AQ20:AU20"/>
    <mergeCell ref="A21:B21"/>
    <mergeCell ref="C21:E21"/>
    <mergeCell ref="F21:G21"/>
    <mergeCell ref="L21:M21"/>
    <mergeCell ref="R21:S21"/>
    <mergeCell ref="V21:W21"/>
    <mergeCell ref="X21:Y21"/>
    <mergeCell ref="Z21:AA21"/>
    <mergeCell ref="AG21:AH21"/>
    <mergeCell ref="AK21:AL21"/>
    <mergeCell ref="AM21:AN21"/>
    <mergeCell ref="AO21:AP21"/>
    <mergeCell ref="AQ21:AU21"/>
    <mergeCell ref="A22:B22"/>
    <mergeCell ref="C22:E22"/>
    <mergeCell ref="F22:G22"/>
    <mergeCell ref="L22:M22"/>
    <mergeCell ref="R22:S22"/>
    <mergeCell ref="V22:W22"/>
    <mergeCell ref="X22:Y22"/>
    <mergeCell ref="Z22:AA22"/>
    <mergeCell ref="AG22:AH22"/>
    <mergeCell ref="AK22:AL22"/>
    <mergeCell ref="AM22:AN22"/>
    <mergeCell ref="AO22:AP22"/>
    <mergeCell ref="AQ22:AU22"/>
    <mergeCell ref="A23:B23"/>
    <mergeCell ref="C23:E23"/>
    <mergeCell ref="F23:G23"/>
    <mergeCell ref="L23:M23"/>
    <mergeCell ref="R23:S23"/>
    <mergeCell ref="V23:W23"/>
    <mergeCell ref="X23:Y23"/>
    <mergeCell ref="Z23:AA23"/>
    <mergeCell ref="AG23:AH23"/>
    <mergeCell ref="AK23:AL23"/>
    <mergeCell ref="AM23:AN23"/>
    <mergeCell ref="AO23:AP23"/>
    <mergeCell ref="AQ23:AU23"/>
    <mergeCell ref="A24:B24"/>
    <mergeCell ref="C24:E24"/>
    <mergeCell ref="F24:G24"/>
    <mergeCell ref="L24:M24"/>
    <mergeCell ref="R24:S24"/>
    <mergeCell ref="V24:W24"/>
    <mergeCell ref="X24:Y24"/>
    <mergeCell ref="Z24:AA24"/>
    <mergeCell ref="AG24:AH24"/>
    <mergeCell ref="AK24:AL24"/>
    <mergeCell ref="AM24:AN24"/>
    <mergeCell ref="AO24:AP24"/>
    <mergeCell ref="AQ24:AU24"/>
    <mergeCell ref="A25:B25"/>
    <mergeCell ref="C25:E25"/>
    <mergeCell ref="F25:G25"/>
    <mergeCell ref="L25:M25"/>
    <mergeCell ref="R25:S25"/>
    <mergeCell ref="V25:W25"/>
    <mergeCell ref="X25:Y25"/>
    <mergeCell ref="Z25:AA25"/>
    <mergeCell ref="AG25:AH25"/>
    <mergeCell ref="AK25:AL25"/>
    <mergeCell ref="AM25:AN25"/>
    <mergeCell ref="AO25:AP25"/>
    <mergeCell ref="AQ25:AU25"/>
    <mergeCell ref="A26:B26"/>
    <mergeCell ref="C26:D26"/>
    <mergeCell ref="F26:G26"/>
    <mergeCell ref="L26:M26"/>
    <mergeCell ref="R26:S26"/>
    <mergeCell ref="V26:W26"/>
    <mergeCell ref="X26:Y26"/>
    <mergeCell ref="Z26:AA26"/>
    <mergeCell ref="AG26:AH26"/>
    <mergeCell ref="AK26:AL26"/>
    <mergeCell ref="AM26:AN26"/>
    <mergeCell ref="AO26:AP26"/>
    <mergeCell ref="AQ26:AT26"/>
    <mergeCell ref="A27:B27"/>
    <mergeCell ref="C27:E27"/>
    <mergeCell ref="F27:G27"/>
    <mergeCell ref="L27:M27"/>
    <mergeCell ref="R27:S27"/>
    <mergeCell ref="V27:W27"/>
    <mergeCell ref="X27:Y27"/>
    <mergeCell ref="Z27:AA27"/>
    <mergeCell ref="AG27:AH27"/>
    <mergeCell ref="AK27:AL27"/>
    <mergeCell ref="AM27:AN27"/>
    <mergeCell ref="AO27:AP27"/>
    <mergeCell ref="AQ27:AU27"/>
    <mergeCell ref="A28:B28"/>
    <mergeCell ref="C28:E28"/>
    <mergeCell ref="F28:G28"/>
    <mergeCell ref="L28:M28"/>
    <mergeCell ref="R28:S28"/>
    <mergeCell ref="V28:W28"/>
    <mergeCell ref="X28:Y28"/>
    <mergeCell ref="Z28:AA28"/>
    <mergeCell ref="AG28:AH28"/>
    <mergeCell ref="AK28:AL28"/>
    <mergeCell ref="AM28:AN28"/>
    <mergeCell ref="AO28:AP28"/>
    <mergeCell ref="AQ28:AU28"/>
    <mergeCell ref="AW28:AY28"/>
    <mergeCell ref="A29:B29"/>
    <mergeCell ref="C29:E29"/>
    <mergeCell ref="F29:G29"/>
    <mergeCell ref="L29:M29"/>
    <mergeCell ref="R29:S29"/>
    <mergeCell ref="V29:W29"/>
    <mergeCell ref="X29:Y29"/>
    <mergeCell ref="Z29:AA29"/>
    <mergeCell ref="AG29:AH29"/>
    <mergeCell ref="AK29:AL29"/>
    <mergeCell ref="AM29:AN29"/>
    <mergeCell ref="AO29:AP29"/>
    <mergeCell ref="AQ29:AU29"/>
    <mergeCell ref="A30:B30"/>
    <mergeCell ref="C30:E30"/>
    <mergeCell ref="F30:G30"/>
    <mergeCell ref="L30:M30"/>
    <mergeCell ref="R30:S30"/>
    <mergeCell ref="V30:W30"/>
    <mergeCell ref="X30:Y30"/>
    <mergeCell ref="Z30:AA30"/>
    <mergeCell ref="AG30:AH30"/>
    <mergeCell ref="AK30:AL30"/>
    <mergeCell ref="AM30:AN30"/>
    <mergeCell ref="AO30:AP30"/>
    <mergeCell ref="AQ30:AU30"/>
    <mergeCell ref="A31:B31"/>
    <mergeCell ref="C31:E31"/>
    <mergeCell ref="F31:G31"/>
    <mergeCell ref="L31:M31"/>
    <mergeCell ref="R31:S31"/>
    <mergeCell ref="V31:W31"/>
    <mergeCell ref="X31:Y31"/>
    <mergeCell ref="Z31:AA31"/>
    <mergeCell ref="AG31:AH31"/>
    <mergeCell ref="AK31:AL31"/>
    <mergeCell ref="AM31:AN31"/>
    <mergeCell ref="AO31:AP31"/>
    <mergeCell ref="AQ31:AU31"/>
    <mergeCell ref="A32:B32"/>
    <mergeCell ref="C32:E32"/>
    <mergeCell ref="F32:G32"/>
    <mergeCell ref="L32:M32"/>
    <mergeCell ref="R32:S32"/>
    <mergeCell ref="V32:W32"/>
    <mergeCell ref="X32:Y32"/>
    <mergeCell ref="Z32:AA32"/>
    <mergeCell ref="AG32:AH32"/>
    <mergeCell ref="AK32:AL32"/>
    <mergeCell ref="AM32:AN32"/>
    <mergeCell ref="AO32:AP32"/>
    <mergeCell ref="AQ32:AU32"/>
    <mergeCell ref="A33:B33"/>
    <mergeCell ref="C33:E33"/>
    <mergeCell ref="F33:G33"/>
    <mergeCell ref="L33:M33"/>
    <mergeCell ref="R33:S33"/>
    <mergeCell ref="V33:W33"/>
    <mergeCell ref="X33:Y33"/>
    <mergeCell ref="Z33:AA33"/>
    <mergeCell ref="AG33:AH33"/>
    <mergeCell ref="AK33:AL33"/>
    <mergeCell ref="AM33:AN33"/>
    <mergeCell ref="AO33:AP33"/>
    <mergeCell ref="AQ33:AU33"/>
    <mergeCell ref="A34:B34"/>
    <mergeCell ref="C34:E34"/>
    <mergeCell ref="F34:G34"/>
    <mergeCell ref="L34:M34"/>
    <mergeCell ref="R34:S34"/>
    <mergeCell ref="V34:W34"/>
    <mergeCell ref="X34:Y34"/>
    <mergeCell ref="Z34:AA34"/>
    <mergeCell ref="AG34:AH34"/>
    <mergeCell ref="AK34:AL34"/>
    <mergeCell ref="AM34:AN34"/>
    <mergeCell ref="AO34:AP34"/>
    <mergeCell ref="AQ34:AU34"/>
    <mergeCell ref="A35:B35"/>
    <mergeCell ref="C35:E35"/>
    <mergeCell ref="F35:G35"/>
    <mergeCell ref="L35:M35"/>
    <mergeCell ref="R35:S35"/>
    <mergeCell ref="V35:W35"/>
    <mergeCell ref="X35:Y35"/>
    <mergeCell ref="Z35:AA35"/>
    <mergeCell ref="AG35:AH35"/>
    <mergeCell ref="AK35:AL35"/>
    <mergeCell ref="AM35:AN35"/>
    <mergeCell ref="AO35:AP35"/>
    <mergeCell ref="AQ35:AU35"/>
    <mergeCell ref="A36:B36"/>
    <mergeCell ref="C36:E36"/>
    <mergeCell ref="F36:G36"/>
    <mergeCell ref="L36:M36"/>
    <mergeCell ref="R36:S36"/>
    <mergeCell ref="V36:W36"/>
    <mergeCell ref="X36:Y36"/>
    <mergeCell ref="Z36:AA36"/>
    <mergeCell ref="AG36:AH36"/>
    <mergeCell ref="AK36:AL36"/>
    <mergeCell ref="AM36:AN36"/>
    <mergeCell ref="AO36:AP36"/>
    <mergeCell ref="AQ36:AU36"/>
    <mergeCell ref="A37:B37"/>
    <mergeCell ref="C37:E37"/>
    <mergeCell ref="F37:G37"/>
    <mergeCell ref="L37:M37"/>
    <mergeCell ref="R37:S37"/>
    <mergeCell ref="V37:W37"/>
    <mergeCell ref="X37:Y37"/>
    <mergeCell ref="Z37:AA37"/>
    <mergeCell ref="AG37:AH37"/>
    <mergeCell ref="AK37:AL37"/>
    <mergeCell ref="AM37:AN37"/>
    <mergeCell ref="AO37:AP37"/>
    <mergeCell ref="AQ37:AU37"/>
    <mergeCell ref="A38:B38"/>
    <mergeCell ref="C38:E38"/>
    <mergeCell ref="F38:G38"/>
    <mergeCell ref="L38:M38"/>
    <mergeCell ref="R38:S38"/>
    <mergeCell ref="V38:W38"/>
    <mergeCell ref="X38:Y38"/>
    <mergeCell ref="Z38:AA38"/>
    <mergeCell ref="AG38:AH38"/>
    <mergeCell ref="AK38:AL38"/>
    <mergeCell ref="AM38:AN38"/>
    <mergeCell ref="AO38:AP38"/>
    <mergeCell ref="AQ38:AU38"/>
    <mergeCell ref="A39:B39"/>
    <mergeCell ref="C39:E39"/>
    <mergeCell ref="F39:G39"/>
    <mergeCell ref="L39:M39"/>
    <mergeCell ref="R39:S39"/>
    <mergeCell ref="V39:W39"/>
    <mergeCell ref="X39:Y39"/>
    <mergeCell ref="Z39:AA39"/>
    <mergeCell ref="AG39:AH39"/>
    <mergeCell ref="AK39:AL39"/>
    <mergeCell ref="AM39:AN39"/>
    <mergeCell ref="AO39:AP39"/>
    <mergeCell ref="AQ39:AU39"/>
    <mergeCell ref="A40:B40"/>
    <mergeCell ref="C40:E40"/>
    <mergeCell ref="F40:G40"/>
    <mergeCell ref="L40:M40"/>
    <mergeCell ref="R40:S40"/>
    <mergeCell ref="V40:W40"/>
    <mergeCell ref="X40:Y40"/>
    <mergeCell ref="Z40:AA40"/>
    <mergeCell ref="AG40:AH40"/>
    <mergeCell ref="AK40:AL40"/>
    <mergeCell ref="AM40:AN40"/>
    <mergeCell ref="AO40:AP40"/>
    <mergeCell ref="AQ40:AU40"/>
    <mergeCell ref="A41:B41"/>
    <mergeCell ref="C41:E41"/>
    <mergeCell ref="F41:G41"/>
    <mergeCell ref="L41:M41"/>
    <mergeCell ref="R41:S41"/>
    <mergeCell ref="V41:W41"/>
    <mergeCell ref="X41:Y41"/>
    <mergeCell ref="Z41:AA41"/>
    <mergeCell ref="AG41:AH41"/>
    <mergeCell ref="AK41:AL41"/>
    <mergeCell ref="AM41:AN41"/>
    <mergeCell ref="AO41:AP41"/>
    <mergeCell ref="AQ41:AU41"/>
    <mergeCell ref="A42:B42"/>
    <mergeCell ref="C42:E42"/>
    <mergeCell ref="F42:G42"/>
    <mergeCell ref="L42:M42"/>
    <mergeCell ref="R42:S42"/>
    <mergeCell ref="V42:W42"/>
    <mergeCell ref="X42:Y42"/>
    <mergeCell ref="Z42:AA42"/>
    <mergeCell ref="AG42:AH42"/>
    <mergeCell ref="AK42:AL42"/>
    <mergeCell ref="AM42:AN42"/>
    <mergeCell ref="AO42:AP42"/>
    <mergeCell ref="AQ42:AU42"/>
    <mergeCell ref="A43:B43"/>
    <mergeCell ref="C43:E43"/>
    <mergeCell ref="F43:G43"/>
    <mergeCell ref="L43:M43"/>
    <mergeCell ref="R43:S43"/>
    <mergeCell ref="V43:W43"/>
    <mergeCell ref="X43:Y43"/>
    <mergeCell ref="Z43:AA43"/>
    <mergeCell ref="AG43:AH43"/>
    <mergeCell ref="AK43:AL43"/>
    <mergeCell ref="AM43:AN43"/>
    <mergeCell ref="AO43:AP43"/>
    <mergeCell ref="AQ43:AU43"/>
    <mergeCell ref="A44:B44"/>
    <mergeCell ref="C44:E44"/>
    <mergeCell ref="F44:G44"/>
    <mergeCell ref="L44:M44"/>
    <mergeCell ref="R44:S44"/>
    <mergeCell ref="V44:W44"/>
    <mergeCell ref="X44:Y44"/>
    <mergeCell ref="Z44:AA44"/>
    <mergeCell ref="AG44:AH44"/>
    <mergeCell ref="AK44:AL44"/>
    <mergeCell ref="AM44:AN44"/>
    <mergeCell ref="AO44:AP44"/>
    <mergeCell ref="AQ44:AU44"/>
    <mergeCell ref="A45:B45"/>
    <mergeCell ref="C45:E45"/>
    <mergeCell ref="F45:G45"/>
    <mergeCell ref="L45:M45"/>
    <mergeCell ref="R45:S45"/>
    <mergeCell ref="V45:W45"/>
    <mergeCell ref="X45:Y45"/>
    <mergeCell ref="Z45:AA45"/>
    <mergeCell ref="AG45:AH45"/>
    <mergeCell ref="AK45:AL45"/>
    <mergeCell ref="AM45:AN45"/>
    <mergeCell ref="AO45:AP45"/>
    <mergeCell ref="AQ45:AU45"/>
    <mergeCell ref="A46:B46"/>
    <mergeCell ref="C46:E46"/>
    <mergeCell ref="F46:G46"/>
    <mergeCell ref="L46:M46"/>
    <mergeCell ref="R46:S46"/>
    <mergeCell ref="V46:W46"/>
    <mergeCell ref="X46:Y46"/>
    <mergeCell ref="Z46:AA46"/>
    <mergeCell ref="AG46:AH46"/>
    <mergeCell ref="AK46:AL46"/>
    <mergeCell ref="AM46:AN46"/>
    <mergeCell ref="AO46:AP46"/>
    <mergeCell ref="AQ46:AU46"/>
    <mergeCell ref="A47:B47"/>
    <mergeCell ref="C47:E47"/>
    <mergeCell ref="F47:G47"/>
    <mergeCell ref="L47:M47"/>
    <mergeCell ref="R47:S47"/>
    <mergeCell ref="V47:W47"/>
    <mergeCell ref="X47:Y47"/>
    <mergeCell ref="Z47:AA47"/>
    <mergeCell ref="AG47:AH47"/>
    <mergeCell ref="AK47:AL47"/>
    <mergeCell ref="AM47:AN47"/>
    <mergeCell ref="AO47:AP47"/>
    <mergeCell ref="AQ47:AU47"/>
    <mergeCell ref="A48:B48"/>
    <mergeCell ref="C48:E48"/>
    <mergeCell ref="F48:G48"/>
    <mergeCell ref="L48:M48"/>
    <mergeCell ref="R48:S48"/>
    <mergeCell ref="V48:W48"/>
    <mergeCell ref="X48:Y48"/>
    <mergeCell ref="Z48:AA48"/>
    <mergeCell ref="AG48:AH48"/>
    <mergeCell ref="AK48:AL48"/>
    <mergeCell ref="AM48:AN48"/>
    <mergeCell ref="AO48:AP48"/>
    <mergeCell ref="AQ48:AU48"/>
    <mergeCell ref="AW48:AY48"/>
    <mergeCell ref="A49:B49"/>
    <mergeCell ref="C49:E49"/>
    <mergeCell ref="F49:G49"/>
    <mergeCell ref="L49:M49"/>
    <mergeCell ref="R49:S49"/>
    <mergeCell ref="V49:W49"/>
    <mergeCell ref="X49:Y49"/>
    <mergeCell ref="Z49:AA49"/>
    <mergeCell ref="AG49:AH49"/>
    <mergeCell ref="AK49:AL49"/>
    <mergeCell ref="AM49:AN49"/>
    <mergeCell ref="AO49:AP49"/>
    <mergeCell ref="AQ49:AU49"/>
    <mergeCell ref="A50:B50"/>
    <mergeCell ref="C50:E50"/>
    <mergeCell ref="F50:G50"/>
    <mergeCell ref="L50:M50"/>
    <mergeCell ref="R50:S50"/>
    <mergeCell ref="V50:W50"/>
    <mergeCell ref="X50:Y50"/>
    <mergeCell ref="Z50:AA50"/>
    <mergeCell ref="AG50:AH50"/>
    <mergeCell ref="AK50:AL50"/>
    <mergeCell ref="AM50:AN50"/>
    <mergeCell ref="AO50:AP50"/>
    <mergeCell ref="AQ50:AU50"/>
    <mergeCell ref="A51:X51"/>
    <mergeCell ref="Z51:AK51"/>
    <mergeCell ref="AM51:AO52"/>
    <mergeCell ref="AP51:AQ52"/>
    <mergeCell ref="AR51:AU51"/>
    <mergeCell ref="A52:X55"/>
    <mergeCell ref="Z52:AK53"/>
    <mergeCell ref="AT52:AU52"/>
    <mergeCell ref="AM53:AQ54"/>
    <mergeCell ref="AR53:AR54"/>
    <mergeCell ref="AS53:AS54"/>
    <mergeCell ref="AT53:AU54"/>
    <mergeCell ref="Z54:AK55"/>
    <mergeCell ref="AM55:AO56"/>
    <mergeCell ref="AP55:AQ56"/>
    <mergeCell ref="AR55:AR58"/>
    <mergeCell ref="AS55:AS58"/>
    <mergeCell ref="AT55:AU58"/>
    <mergeCell ref="B56:F58"/>
    <mergeCell ref="G56:S57"/>
    <mergeCell ref="T56:V58"/>
    <mergeCell ref="Z56:AK57"/>
    <mergeCell ref="AM57:AQ58"/>
    <mergeCell ref="G58:S58"/>
    <mergeCell ref="Z58:AK61"/>
    <mergeCell ref="B59:F60"/>
    <mergeCell ref="G59:S59"/>
    <mergeCell ref="AM59:AQ59"/>
    <mergeCell ref="G60:S60"/>
    <mergeCell ref="AM60:AQ60"/>
    <mergeCell ref="B61:F62"/>
    <mergeCell ref="G61:S61"/>
    <mergeCell ref="T61:V62"/>
    <mergeCell ref="AM61:AQ61"/>
    <mergeCell ref="AR63:AR64"/>
    <mergeCell ref="AS63:AS64"/>
    <mergeCell ref="AT63:AU64"/>
    <mergeCell ref="AR59:AR60"/>
    <mergeCell ref="AS59:AS60"/>
    <mergeCell ref="AT59:AU60"/>
    <mergeCell ref="AR61:AR62"/>
    <mergeCell ref="AS67:AS68"/>
    <mergeCell ref="AT67:AU68"/>
    <mergeCell ref="B68:X71"/>
    <mergeCell ref="AS61:AS62"/>
    <mergeCell ref="AT61:AU62"/>
    <mergeCell ref="G62:S62"/>
    <mergeCell ref="Z62:AK62"/>
    <mergeCell ref="AM62:AQ62"/>
    <mergeCell ref="Z63:AK67"/>
    <mergeCell ref="AM63:AQ64"/>
    <mergeCell ref="AR71:AR72"/>
    <mergeCell ref="AS71:AS72"/>
    <mergeCell ref="AT71:AU72"/>
    <mergeCell ref="A64:X67"/>
    <mergeCell ref="AM65:AQ65"/>
    <mergeCell ref="AT65:AU65"/>
    <mergeCell ref="AM66:AQ66"/>
    <mergeCell ref="AT66:AU66"/>
    <mergeCell ref="AM67:AQ68"/>
    <mergeCell ref="AR67:AR68"/>
    <mergeCell ref="AN78:AU79"/>
    <mergeCell ref="Z79:AK80"/>
    <mergeCell ref="AM80:AU81"/>
    <mergeCell ref="Z68:AK69"/>
    <mergeCell ref="AM69:AQ70"/>
    <mergeCell ref="AR69:AR70"/>
    <mergeCell ref="AS69:AS70"/>
    <mergeCell ref="AT69:AU70"/>
    <mergeCell ref="Z70:AK73"/>
    <mergeCell ref="AM71:AQ72"/>
    <mergeCell ref="Z82:AK82"/>
    <mergeCell ref="AN82:AT82"/>
    <mergeCell ref="Z83:AK83"/>
    <mergeCell ref="AN83:AU83"/>
    <mergeCell ref="Z74:AK74"/>
    <mergeCell ref="AM74:AU75"/>
    <mergeCell ref="Z75:AK76"/>
    <mergeCell ref="AN76:AU77"/>
    <mergeCell ref="Z77:AK77"/>
    <mergeCell ref="Z78:AK78"/>
  </mergeCells>
  <pageMargins left="0.27777777777777779" right="0.27777777777777779" top="0.27777777777777779" bottom="0.27777777777777779" header="0" footer="0"/>
  <pageSetup paperSize="9" firstPageNumber="0" fitToWidth="0" fitToHeight="0" pageOrder="overThenDown" orientation="landscape"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C403B-2378-4EF7-B23F-6248293A1D17}">
  <sheetPr>
    <tabColor theme="1"/>
  </sheetPr>
  <dimension ref="A1:AY83"/>
  <sheetViews>
    <sheetView zoomScaleNormal="100" workbookViewId="0">
      <selection activeCell="AV58" sqref="AV58"/>
    </sheetView>
  </sheetViews>
  <sheetFormatPr defaultColWidth="8.7109375" defaultRowHeight="12.75"/>
  <cols>
    <col min="1" max="1" width="1.7109375" style="36" bestFit="1" customWidth="1"/>
    <col min="2" max="2" width="3.5703125" style="36" customWidth="1"/>
    <col min="3" max="3" width="14.140625" style="36" bestFit="1" customWidth="1"/>
    <col min="4" max="4" width="8.7109375" style="36" bestFit="1" customWidth="1"/>
    <col min="5" max="5" width="0.28515625" style="36" bestFit="1" customWidth="1"/>
    <col min="6" max="6" width="0.7109375" style="36" bestFit="1" customWidth="1"/>
    <col min="7" max="7" width="2" style="36" bestFit="1" customWidth="1"/>
    <col min="8" max="9" width="3.28515625" style="36" customWidth="1"/>
    <col min="10" max="11" width="3.42578125" style="36" customWidth="1"/>
    <col min="12" max="12" width="2.5703125" style="36" bestFit="1" customWidth="1"/>
    <col min="13" max="13" width="0.28515625" style="36" bestFit="1" customWidth="1"/>
    <col min="14" max="17" width="3.42578125" style="36" customWidth="1"/>
    <col min="18" max="18" width="0.7109375" style="36" bestFit="1" customWidth="1"/>
    <col min="19" max="19" width="2" style="36" bestFit="1" customWidth="1"/>
    <col min="20" max="20" width="3.42578125" style="36" customWidth="1"/>
    <col min="21" max="21" width="3.28515625" style="36" customWidth="1"/>
    <col min="22" max="22" width="0.7109375" style="36" bestFit="1" customWidth="1"/>
    <col min="23" max="23" width="2.28515625" style="36" bestFit="1" customWidth="1"/>
    <col min="24" max="24" width="1.28515625" style="36" bestFit="1" customWidth="1"/>
    <col min="25" max="26" width="1.7109375" style="36" bestFit="1" customWidth="1"/>
    <col min="27" max="27" width="1.28515625" style="36" bestFit="1" customWidth="1"/>
    <col min="28" max="28" width="3.140625" style="36" customWidth="1"/>
    <col min="29" max="30" width="3" style="36" customWidth="1"/>
    <col min="31" max="31" width="3.28515625" style="36" bestFit="1" customWidth="1"/>
    <col min="32" max="32" width="3" style="36" customWidth="1"/>
    <col min="33" max="33" width="2.7109375" style="36" bestFit="1" customWidth="1"/>
    <col min="34" max="34" width="0.28515625" style="36" bestFit="1" customWidth="1"/>
    <col min="35" max="35" width="3.42578125" style="36" customWidth="1"/>
    <col min="36" max="36" width="3.140625" style="36" customWidth="1"/>
    <col min="37" max="37" width="1.28515625" style="36" bestFit="1" customWidth="1"/>
    <col min="38" max="39" width="1.7109375" style="36" bestFit="1" customWidth="1"/>
    <col min="40" max="40" width="4.140625" style="36" customWidth="1"/>
    <col min="41" max="41" width="5" style="36" bestFit="1" customWidth="1"/>
    <col min="42" max="42" width="1.7109375" style="36" bestFit="1" customWidth="1"/>
    <col min="43" max="43" width="8.5703125" style="36" customWidth="1"/>
    <col min="44" max="44" width="4.85546875" style="36" customWidth="1"/>
    <col min="45" max="45" width="4.7109375" style="36" customWidth="1"/>
    <col min="46" max="46" width="4.42578125" style="36" customWidth="1"/>
    <col min="47" max="47" width="0.28515625" style="36" customWidth="1"/>
    <col min="48" max="16384" width="8.7109375" style="36"/>
  </cols>
  <sheetData>
    <row r="1" spans="1:51" ht="30" customHeight="1">
      <c r="A1" s="291" t="s">
        <v>0</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row>
    <row r="2" spans="1:51" ht="19.899999999999999" customHeight="1">
      <c r="A2" s="292" t="s">
        <v>1</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row>
    <row r="3" spans="1:51" ht="19.899999999999999" customHeight="1" thickBot="1">
      <c r="A3" s="287" t="s">
        <v>2</v>
      </c>
      <c r="B3" s="72"/>
      <c r="C3" s="72"/>
      <c r="D3" s="72"/>
      <c r="E3" s="1"/>
      <c r="F3" s="284">
        <v>132839</v>
      </c>
      <c r="G3" s="285"/>
      <c r="H3" s="285"/>
      <c r="I3" s="286"/>
      <c r="J3" s="287" t="s">
        <v>3</v>
      </c>
      <c r="K3" s="72"/>
      <c r="L3" s="72"/>
      <c r="M3" s="284" t="s">
        <v>79</v>
      </c>
      <c r="N3" s="285"/>
      <c r="O3" s="285"/>
      <c r="P3" s="285"/>
      <c r="Q3" s="285"/>
      <c r="R3" s="286"/>
      <c r="S3" s="287" t="s">
        <v>4</v>
      </c>
      <c r="T3" s="72"/>
      <c r="U3" s="72"/>
      <c r="V3" s="72"/>
      <c r="W3" s="72"/>
      <c r="X3" s="72"/>
      <c r="Y3" s="72"/>
      <c r="Z3" s="72"/>
      <c r="AA3" s="284" t="s">
        <v>93</v>
      </c>
      <c r="AB3" s="285"/>
      <c r="AC3" s="285"/>
      <c r="AD3" s="285"/>
      <c r="AE3" s="285"/>
      <c r="AF3" s="285"/>
      <c r="AG3" s="286"/>
      <c r="AH3" s="1"/>
      <c r="AI3" s="1"/>
      <c r="AJ3" s="1"/>
      <c r="AK3" s="1"/>
      <c r="AL3" s="1"/>
      <c r="AM3" s="1"/>
      <c r="AN3" s="1"/>
      <c r="AO3" s="1"/>
      <c r="AP3" s="1"/>
      <c r="AQ3" s="1"/>
      <c r="AR3" s="1"/>
      <c r="AS3" s="1"/>
      <c r="AT3" s="1"/>
      <c r="AU3" s="1"/>
    </row>
    <row r="4" spans="1:51" ht="19.899999999999999" customHeight="1" thickBot="1">
      <c r="A4" s="287" t="s">
        <v>6</v>
      </c>
      <c r="B4" s="72"/>
      <c r="C4" s="72"/>
      <c r="D4" s="72"/>
      <c r="E4" s="1"/>
      <c r="F4" s="284" t="s">
        <v>123</v>
      </c>
      <c r="G4" s="285"/>
      <c r="H4" s="285"/>
      <c r="I4" s="285"/>
      <c r="J4" s="285"/>
      <c r="K4" s="285"/>
      <c r="L4" s="285"/>
      <c r="M4" s="285"/>
      <c r="N4" s="285"/>
      <c r="O4" s="285"/>
      <c r="P4" s="285"/>
      <c r="Q4" s="285"/>
      <c r="R4" s="286"/>
      <c r="S4" s="287" t="s">
        <v>7</v>
      </c>
      <c r="T4" s="72"/>
      <c r="U4" s="72"/>
      <c r="V4" s="72"/>
      <c r="W4" s="72"/>
      <c r="X4" s="72"/>
      <c r="Y4" s="72"/>
      <c r="Z4" s="72"/>
      <c r="AA4" s="284" t="s">
        <v>124</v>
      </c>
      <c r="AB4" s="285"/>
      <c r="AC4" s="285"/>
      <c r="AD4" s="285"/>
      <c r="AE4" s="285"/>
      <c r="AF4" s="285"/>
      <c r="AG4" s="286"/>
      <c r="AH4" s="1"/>
      <c r="AI4" s="287" t="s">
        <v>8</v>
      </c>
      <c r="AJ4" s="72"/>
      <c r="AK4" s="72"/>
      <c r="AL4" s="72"/>
      <c r="AM4" s="284" t="s">
        <v>129</v>
      </c>
      <c r="AN4" s="285"/>
      <c r="AO4" s="285"/>
      <c r="AP4" s="285"/>
      <c r="AQ4" s="285"/>
      <c r="AR4" s="285"/>
      <c r="AS4" s="285"/>
      <c r="AT4" s="285"/>
      <c r="AU4" s="286"/>
      <c r="AW4" s="288" t="s">
        <v>73</v>
      </c>
      <c r="AX4" s="289"/>
      <c r="AY4" s="290"/>
    </row>
    <row r="5" spans="1:51" ht="10.15" customHeight="1">
      <c r="A5" s="259" t="s">
        <v>9</v>
      </c>
      <c r="B5" s="260"/>
      <c r="C5" s="259" t="s">
        <v>10</v>
      </c>
      <c r="D5" s="265"/>
      <c r="E5" s="260"/>
      <c r="F5" s="267" t="s">
        <v>11</v>
      </c>
      <c r="G5" s="268"/>
      <c r="H5" s="268"/>
      <c r="I5" s="268"/>
      <c r="J5" s="268"/>
      <c r="K5" s="268"/>
      <c r="L5" s="268"/>
      <c r="M5" s="268"/>
      <c r="N5" s="268"/>
      <c r="O5" s="268"/>
      <c r="P5" s="268"/>
      <c r="Q5" s="268"/>
      <c r="R5" s="268"/>
      <c r="S5" s="268"/>
      <c r="T5" s="268"/>
      <c r="U5" s="268"/>
      <c r="V5" s="268"/>
      <c r="W5" s="268"/>
      <c r="X5" s="268"/>
      <c r="Y5" s="268"/>
      <c r="Z5" s="268"/>
      <c r="AA5" s="268"/>
      <c r="AB5" s="268"/>
      <c r="AC5" s="268"/>
      <c r="AD5" s="268"/>
      <c r="AE5" s="268"/>
      <c r="AF5" s="268"/>
      <c r="AG5" s="268"/>
      <c r="AH5" s="268"/>
      <c r="AI5" s="268"/>
      <c r="AJ5" s="268"/>
      <c r="AK5" s="268"/>
      <c r="AL5" s="269"/>
      <c r="AM5" s="270" t="s">
        <v>12</v>
      </c>
      <c r="AN5" s="271"/>
      <c r="AO5" s="271"/>
      <c r="AP5" s="272"/>
      <c r="AQ5" s="276" t="s">
        <v>13</v>
      </c>
      <c r="AR5" s="277"/>
      <c r="AS5" s="277"/>
      <c r="AT5" s="277"/>
      <c r="AU5" s="278"/>
      <c r="AW5" s="281">
        <v>22</v>
      </c>
      <c r="AX5" s="282"/>
      <c r="AY5" s="283"/>
    </row>
    <row r="6" spans="1:51" ht="15" customHeight="1" thickBot="1">
      <c r="A6" s="261"/>
      <c r="B6" s="262"/>
      <c r="C6" s="261"/>
      <c r="D6" s="72"/>
      <c r="E6" s="262"/>
      <c r="F6" s="257">
        <v>1</v>
      </c>
      <c r="G6" s="256"/>
      <c r="H6" s="9">
        <v>2</v>
      </c>
      <c r="I6" s="9">
        <v>3</v>
      </c>
      <c r="J6" s="9">
        <v>4</v>
      </c>
      <c r="K6" s="9">
        <v>5</v>
      </c>
      <c r="L6" s="257">
        <v>8</v>
      </c>
      <c r="M6" s="256"/>
      <c r="N6" s="9">
        <v>9</v>
      </c>
      <c r="O6" s="9">
        <v>10</v>
      </c>
      <c r="P6" s="9">
        <v>11</v>
      </c>
      <c r="Q6" s="9">
        <v>12</v>
      </c>
      <c r="R6" s="257">
        <v>15</v>
      </c>
      <c r="S6" s="256"/>
      <c r="T6" s="9">
        <v>16</v>
      </c>
      <c r="U6" s="9">
        <v>17</v>
      </c>
      <c r="V6" s="255">
        <v>18</v>
      </c>
      <c r="W6" s="256"/>
      <c r="X6" s="255">
        <v>19</v>
      </c>
      <c r="Y6" s="256"/>
      <c r="Z6" s="257">
        <v>22</v>
      </c>
      <c r="AA6" s="256"/>
      <c r="AB6" s="9">
        <v>23</v>
      </c>
      <c r="AC6" s="9">
        <v>24</v>
      </c>
      <c r="AD6" s="9">
        <v>25</v>
      </c>
      <c r="AE6" s="9">
        <v>26</v>
      </c>
      <c r="AF6" s="10">
        <v>29</v>
      </c>
      <c r="AG6" s="255">
        <v>30</v>
      </c>
      <c r="AH6" s="256"/>
      <c r="AI6" s="9"/>
      <c r="AJ6" s="9"/>
      <c r="AK6" s="255"/>
      <c r="AL6" s="256"/>
      <c r="AM6" s="273"/>
      <c r="AN6" s="274"/>
      <c r="AO6" s="274"/>
      <c r="AP6" s="275"/>
      <c r="AQ6" s="87"/>
      <c r="AR6" s="72"/>
      <c r="AS6" s="72"/>
      <c r="AT6" s="72"/>
      <c r="AU6" s="279"/>
      <c r="AW6" s="281"/>
      <c r="AX6" s="282"/>
      <c r="AY6" s="283"/>
    </row>
    <row r="7" spans="1:51" ht="15" customHeight="1" thickBot="1">
      <c r="A7" s="263"/>
      <c r="B7" s="264"/>
      <c r="C7" s="263"/>
      <c r="D7" s="266"/>
      <c r="E7" s="264"/>
      <c r="F7" s="258" t="s">
        <v>14</v>
      </c>
      <c r="G7" s="252"/>
      <c r="H7" s="13" t="s">
        <v>15</v>
      </c>
      <c r="I7" s="13" t="s">
        <v>16</v>
      </c>
      <c r="J7" s="13" t="s">
        <v>17</v>
      </c>
      <c r="K7" s="13" t="s">
        <v>18</v>
      </c>
      <c r="L7" s="258" t="s">
        <v>14</v>
      </c>
      <c r="M7" s="252"/>
      <c r="N7" s="13" t="s">
        <v>15</v>
      </c>
      <c r="O7" s="13" t="s">
        <v>16</v>
      </c>
      <c r="P7" s="13" t="s">
        <v>17</v>
      </c>
      <c r="Q7" s="13" t="s">
        <v>18</v>
      </c>
      <c r="R7" s="258" t="s">
        <v>14</v>
      </c>
      <c r="S7" s="252"/>
      <c r="T7" s="13" t="s">
        <v>15</v>
      </c>
      <c r="U7" s="13" t="s">
        <v>16</v>
      </c>
      <c r="V7" s="251" t="s">
        <v>17</v>
      </c>
      <c r="W7" s="252"/>
      <c r="X7" s="251" t="s">
        <v>18</v>
      </c>
      <c r="Y7" s="252"/>
      <c r="Z7" s="258" t="s">
        <v>14</v>
      </c>
      <c r="AA7" s="252"/>
      <c r="AB7" s="13" t="s">
        <v>15</v>
      </c>
      <c r="AC7" s="13" t="s">
        <v>16</v>
      </c>
      <c r="AD7" s="13" t="s">
        <v>17</v>
      </c>
      <c r="AE7" s="13" t="s">
        <v>18</v>
      </c>
      <c r="AF7" s="14" t="s">
        <v>14</v>
      </c>
      <c r="AG7" s="251" t="s">
        <v>15</v>
      </c>
      <c r="AH7" s="252"/>
      <c r="AI7" s="13" t="s">
        <v>16</v>
      </c>
      <c r="AJ7" s="13" t="s">
        <v>17</v>
      </c>
      <c r="AK7" s="251" t="s">
        <v>18</v>
      </c>
      <c r="AL7" s="252"/>
      <c r="AM7" s="253" t="s">
        <v>19</v>
      </c>
      <c r="AN7" s="254"/>
      <c r="AO7" s="253" t="s">
        <v>20</v>
      </c>
      <c r="AP7" s="254"/>
      <c r="AQ7" s="90"/>
      <c r="AR7" s="91"/>
      <c r="AS7" s="91"/>
      <c r="AT7" s="91"/>
      <c r="AU7" s="280"/>
      <c r="AW7" s="8"/>
      <c r="AY7" s="7"/>
    </row>
    <row r="8" spans="1:51" ht="19.899999999999999" customHeight="1">
      <c r="A8" s="220">
        <v>1</v>
      </c>
      <c r="B8" s="221"/>
      <c r="C8" s="231" t="s">
        <v>96</v>
      </c>
      <c r="D8" s="232"/>
      <c r="E8" s="233"/>
      <c r="F8" s="230"/>
      <c r="G8" s="228"/>
      <c r="H8" s="9"/>
      <c r="I8" s="9"/>
      <c r="J8" s="9"/>
      <c r="K8" s="11"/>
      <c r="L8" s="230"/>
      <c r="M8" s="228"/>
      <c r="N8" s="9"/>
      <c r="O8" s="9"/>
      <c r="P8" s="9"/>
      <c r="Q8" s="11"/>
      <c r="R8" s="230"/>
      <c r="S8" s="228"/>
      <c r="T8" s="9"/>
      <c r="U8" s="9"/>
      <c r="V8" s="227"/>
      <c r="W8" s="228"/>
      <c r="X8" s="227"/>
      <c r="Y8" s="229"/>
      <c r="Z8" s="230"/>
      <c r="AA8" s="228"/>
      <c r="AB8" s="9"/>
      <c r="AC8" s="9"/>
      <c r="AD8" s="9"/>
      <c r="AE8" s="11"/>
      <c r="AF8" s="10"/>
      <c r="AG8" s="227"/>
      <c r="AH8" s="228"/>
      <c r="AI8" s="9"/>
      <c r="AJ8" s="9"/>
      <c r="AK8" s="227" t="s">
        <v>5</v>
      </c>
      <c r="AL8" s="229"/>
      <c r="AM8" s="212">
        <f t="shared" ref="AM8:AM28" si="0">COUNTIF(F8:AL8,"X")</f>
        <v>0</v>
      </c>
      <c r="AN8" s="213"/>
      <c r="AO8" s="212">
        <f t="shared" ref="AO8:AO28" si="1">$AW$5-AM8</f>
        <v>22</v>
      </c>
      <c r="AP8" s="213"/>
      <c r="AQ8" s="214" t="s">
        <v>5</v>
      </c>
      <c r="AR8" s="215"/>
      <c r="AS8" s="215"/>
      <c r="AT8" s="215"/>
      <c r="AU8" s="216"/>
      <c r="AW8" s="8"/>
      <c r="AY8" s="7"/>
    </row>
    <row r="9" spans="1:51" ht="19.899999999999999" customHeight="1">
      <c r="A9" s="220">
        <v>2</v>
      </c>
      <c r="B9" s="221"/>
      <c r="C9" s="231" t="s">
        <v>97</v>
      </c>
      <c r="D9" s="232"/>
      <c r="E9" s="233"/>
      <c r="F9" s="230"/>
      <c r="G9" s="228"/>
      <c r="H9" s="9"/>
      <c r="I9" s="9"/>
      <c r="J9" s="9"/>
      <c r="K9" s="11"/>
      <c r="L9" s="230"/>
      <c r="M9" s="228"/>
      <c r="N9" s="9"/>
      <c r="O9" s="9"/>
      <c r="P9" s="9"/>
      <c r="Q9" s="11"/>
      <c r="R9" s="230"/>
      <c r="S9" s="228"/>
      <c r="T9" s="9"/>
      <c r="U9" s="9"/>
      <c r="V9" s="227"/>
      <c r="W9" s="228"/>
      <c r="X9" s="227"/>
      <c r="Y9" s="229"/>
      <c r="Z9" s="230"/>
      <c r="AA9" s="228"/>
      <c r="AB9" s="9"/>
      <c r="AC9" s="9"/>
      <c r="AD9" s="9"/>
      <c r="AE9" s="11"/>
      <c r="AF9" s="10"/>
      <c r="AG9" s="227"/>
      <c r="AH9" s="228"/>
      <c r="AI9" s="9"/>
      <c r="AJ9" s="9"/>
      <c r="AK9" s="227" t="s">
        <v>5</v>
      </c>
      <c r="AL9" s="229"/>
      <c r="AM9" s="212">
        <f t="shared" si="0"/>
        <v>0</v>
      </c>
      <c r="AN9" s="213"/>
      <c r="AO9" s="212">
        <f t="shared" si="1"/>
        <v>22</v>
      </c>
      <c r="AP9" s="213"/>
      <c r="AQ9" s="214" t="s">
        <v>5</v>
      </c>
      <c r="AR9" s="215"/>
      <c r="AS9" s="215"/>
      <c r="AT9" s="215"/>
      <c r="AU9" s="216"/>
      <c r="AW9" s="8"/>
      <c r="AY9" s="7"/>
    </row>
    <row r="10" spans="1:51" ht="19.899999999999999" customHeight="1">
      <c r="A10" s="220">
        <v>3</v>
      </c>
      <c r="B10" s="221"/>
      <c r="C10" s="231" t="s">
        <v>98</v>
      </c>
      <c r="D10" s="232"/>
      <c r="E10" s="233"/>
      <c r="F10" s="230"/>
      <c r="G10" s="228"/>
      <c r="H10" s="9"/>
      <c r="I10" s="9"/>
      <c r="J10" s="9"/>
      <c r="K10" s="11"/>
      <c r="L10" s="230"/>
      <c r="M10" s="228"/>
      <c r="N10" s="9"/>
      <c r="O10" s="9"/>
      <c r="P10" s="9"/>
      <c r="Q10" s="11"/>
      <c r="R10" s="230"/>
      <c r="S10" s="228"/>
      <c r="T10" s="9"/>
      <c r="U10" s="9"/>
      <c r="V10" s="227"/>
      <c r="W10" s="228"/>
      <c r="X10" s="227"/>
      <c r="Y10" s="229"/>
      <c r="Z10" s="230"/>
      <c r="AA10" s="228"/>
      <c r="AB10" s="9"/>
      <c r="AC10" s="9"/>
      <c r="AD10" s="9"/>
      <c r="AE10" s="11"/>
      <c r="AF10" s="10"/>
      <c r="AG10" s="227"/>
      <c r="AH10" s="228"/>
      <c r="AI10" s="9"/>
      <c r="AJ10" s="9"/>
      <c r="AK10" s="227" t="s">
        <v>5</v>
      </c>
      <c r="AL10" s="229"/>
      <c r="AM10" s="212">
        <f t="shared" si="0"/>
        <v>0</v>
      </c>
      <c r="AN10" s="213"/>
      <c r="AO10" s="212">
        <f t="shared" si="1"/>
        <v>22</v>
      </c>
      <c r="AP10" s="213"/>
      <c r="AQ10" s="214" t="s">
        <v>5</v>
      </c>
      <c r="AR10" s="215"/>
      <c r="AS10" s="215"/>
      <c r="AT10" s="215"/>
      <c r="AU10" s="216"/>
      <c r="AW10" s="8"/>
      <c r="AY10" s="7"/>
    </row>
    <row r="11" spans="1:51" ht="19.899999999999999" customHeight="1">
      <c r="A11" s="220">
        <v>4</v>
      </c>
      <c r="B11" s="221"/>
      <c r="C11" s="231" t="s">
        <v>99</v>
      </c>
      <c r="D11" s="232"/>
      <c r="E11" s="233"/>
      <c r="F11" s="230"/>
      <c r="G11" s="228"/>
      <c r="H11" s="9"/>
      <c r="I11" s="9"/>
      <c r="J11" s="9"/>
      <c r="K11" s="11"/>
      <c r="L11" s="295" t="s">
        <v>126</v>
      </c>
      <c r="M11" s="228"/>
      <c r="N11" s="9"/>
      <c r="O11" s="9"/>
      <c r="P11" s="9"/>
      <c r="Q11" s="50" t="s">
        <v>126</v>
      </c>
      <c r="R11" s="295" t="s">
        <v>126</v>
      </c>
      <c r="S11" s="228"/>
      <c r="T11" s="9"/>
      <c r="U11" s="49" t="s">
        <v>126</v>
      </c>
      <c r="V11" s="227"/>
      <c r="W11" s="228"/>
      <c r="X11" s="227"/>
      <c r="Y11" s="229"/>
      <c r="Z11" s="230"/>
      <c r="AA11" s="228"/>
      <c r="AB11" s="9"/>
      <c r="AC11" s="9"/>
      <c r="AD11" s="9"/>
      <c r="AE11" s="11"/>
      <c r="AF11" s="51" t="s">
        <v>126</v>
      </c>
      <c r="AG11" s="296" t="s">
        <v>126</v>
      </c>
      <c r="AH11" s="228"/>
      <c r="AI11" s="9"/>
      <c r="AJ11" s="9"/>
      <c r="AK11" s="227" t="s">
        <v>5</v>
      </c>
      <c r="AL11" s="229"/>
      <c r="AM11" s="212">
        <v>6</v>
      </c>
      <c r="AN11" s="213"/>
      <c r="AO11" s="212">
        <f t="shared" si="1"/>
        <v>16</v>
      </c>
      <c r="AP11" s="213"/>
      <c r="AQ11" s="214" t="s">
        <v>5</v>
      </c>
      <c r="AR11" s="215"/>
      <c r="AS11" s="215"/>
      <c r="AT11" s="215"/>
      <c r="AU11" s="216"/>
      <c r="AW11" s="8"/>
      <c r="AY11" s="7"/>
    </row>
    <row r="12" spans="1:51" ht="19.899999999999999" customHeight="1">
      <c r="A12" s="220">
        <v>5</v>
      </c>
      <c r="B12" s="221"/>
      <c r="C12" s="231" t="s">
        <v>100</v>
      </c>
      <c r="D12" s="232"/>
      <c r="E12" s="233"/>
      <c r="F12" s="230"/>
      <c r="G12" s="228"/>
      <c r="H12" s="9"/>
      <c r="I12" s="9"/>
      <c r="J12" s="9"/>
      <c r="K12" s="11"/>
      <c r="L12" s="230"/>
      <c r="M12" s="228"/>
      <c r="N12" s="49" t="s">
        <v>126</v>
      </c>
      <c r="O12" s="9"/>
      <c r="P12" s="9"/>
      <c r="Q12" s="11"/>
      <c r="R12" s="230"/>
      <c r="S12" s="228"/>
      <c r="T12" s="9"/>
      <c r="U12" s="9"/>
      <c r="V12" s="227"/>
      <c r="W12" s="228"/>
      <c r="X12" s="227"/>
      <c r="Y12" s="229"/>
      <c r="Z12" s="230"/>
      <c r="AA12" s="228"/>
      <c r="AB12" s="49" t="s">
        <v>126</v>
      </c>
      <c r="AC12" s="49" t="s">
        <v>126</v>
      </c>
      <c r="AD12" s="9"/>
      <c r="AE12" s="11"/>
      <c r="AF12" s="10"/>
      <c r="AG12" s="227"/>
      <c r="AH12" s="228"/>
      <c r="AI12" s="9"/>
      <c r="AJ12" s="9"/>
      <c r="AK12" s="227" t="s">
        <v>5</v>
      </c>
      <c r="AL12" s="229"/>
      <c r="AM12" s="212">
        <v>3</v>
      </c>
      <c r="AN12" s="213"/>
      <c r="AO12" s="212">
        <f t="shared" si="1"/>
        <v>19</v>
      </c>
      <c r="AP12" s="213"/>
      <c r="AQ12" s="214" t="s">
        <v>5</v>
      </c>
      <c r="AR12" s="215"/>
      <c r="AS12" s="215"/>
      <c r="AT12" s="215"/>
      <c r="AU12" s="216"/>
      <c r="AW12" s="8"/>
      <c r="AY12" s="7"/>
    </row>
    <row r="13" spans="1:51" ht="19.899999999999999" customHeight="1">
      <c r="A13" s="220">
        <v>6</v>
      </c>
      <c r="B13" s="221"/>
      <c r="C13" s="231" t="s">
        <v>101</v>
      </c>
      <c r="D13" s="232"/>
      <c r="E13" s="233"/>
      <c r="F13" s="230"/>
      <c r="G13" s="228"/>
      <c r="H13" s="9"/>
      <c r="I13" s="9"/>
      <c r="J13" s="9"/>
      <c r="K13" s="11"/>
      <c r="L13" s="230"/>
      <c r="M13" s="228"/>
      <c r="N13" s="9"/>
      <c r="O13" s="9"/>
      <c r="P13" s="9"/>
      <c r="Q13" s="11"/>
      <c r="R13" s="230"/>
      <c r="S13" s="228"/>
      <c r="T13" s="9"/>
      <c r="U13" s="9"/>
      <c r="V13" s="227"/>
      <c r="W13" s="228"/>
      <c r="X13" s="227"/>
      <c r="Y13" s="229"/>
      <c r="Z13" s="230"/>
      <c r="AA13" s="228"/>
      <c r="AB13" s="9"/>
      <c r="AC13" s="9"/>
      <c r="AD13" s="9"/>
      <c r="AE13" s="11"/>
      <c r="AF13" s="10"/>
      <c r="AG13" s="227"/>
      <c r="AH13" s="228"/>
      <c r="AI13" s="9"/>
      <c r="AJ13" s="9"/>
      <c r="AK13" s="227" t="s">
        <v>5</v>
      </c>
      <c r="AL13" s="229"/>
      <c r="AM13" s="212">
        <f t="shared" si="0"/>
        <v>0</v>
      </c>
      <c r="AN13" s="213"/>
      <c r="AO13" s="212">
        <f t="shared" si="1"/>
        <v>22</v>
      </c>
      <c r="AP13" s="213"/>
      <c r="AQ13" s="214" t="s">
        <v>5</v>
      </c>
      <c r="AR13" s="215"/>
      <c r="AS13" s="215"/>
      <c r="AT13" s="215"/>
      <c r="AU13" s="216"/>
      <c r="AW13" s="8"/>
      <c r="AY13" s="7"/>
    </row>
    <row r="14" spans="1:51" ht="19.899999999999999" customHeight="1">
      <c r="A14" s="220">
        <v>7</v>
      </c>
      <c r="B14" s="221"/>
      <c r="C14" s="231" t="s">
        <v>102</v>
      </c>
      <c r="D14" s="232"/>
      <c r="E14" s="233"/>
      <c r="F14" s="230"/>
      <c r="G14" s="228"/>
      <c r="H14" s="9"/>
      <c r="I14" s="9"/>
      <c r="J14" s="9"/>
      <c r="K14" s="11"/>
      <c r="L14" s="230"/>
      <c r="M14" s="228"/>
      <c r="N14" s="9"/>
      <c r="O14" s="9"/>
      <c r="P14" s="9"/>
      <c r="Q14" s="11"/>
      <c r="R14" s="230"/>
      <c r="S14" s="228"/>
      <c r="T14" s="9"/>
      <c r="U14" s="9"/>
      <c r="V14" s="227"/>
      <c r="W14" s="228"/>
      <c r="X14" s="227"/>
      <c r="Y14" s="229"/>
      <c r="Z14" s="230"/>
      <c r="AA14" s="228"/>
      <c r="AB14" s="9"/>
      <c r="AC14" s="9"/>
      <c r="AD14" s="9"/>
      <c r="AE14" s="11"/>
      <c r="AF14" s="10"/>
      <c r="AG14" s="227"/>
      <c r="AH14" s="228"/>
      <c r="AI14" s="9"/>
      <c r="AJ14" s="9"/>
      <c r="AK14" s="227" t="s">
        <v>5</v>
      </c>
      <c r="AL14" s="229"/>
      <c r="AM14" s="212">
        <f t="shared" si="0"/>
        <v>0</v>
      </c>
      <c r="AN14" s="213"/>
      <c r="AO14" s="212">
        <f t="shared" si="1"/>
        <v>22</v>
      </c>
      <c r="AP14" s="213"/>
      <c r="AQ14" s="214" t="s">
        <v>5</v>
      </c>
      <c r="AR14" s="215"/>
      <c r="AS14" s="215"/>
      <c r="AT14" s="215"/>
      <c r="AU14" s="216"/>
      <c r="AW14" s="8"/>
      <c r="AY14" s="7"/>
    </row>
    <row r="15" spans="1:51" ht="19.899999999999999" customHeight="1">
      <c r="A15" s="220">
        <v>8</v>
      </c>
      <c r="B15" s="221"/>
      <c r="C15" s="231" t="s">
        <v>103</v>
      </c>
      <c r="D15" s="232"/>
      <c r="E15" s="233"/>
      <c r="F15" s="230"/>
      <c r="G15" s="228"/>
      <c r="H15" s="9"/>
      <c r="I15" s="9"/>
      <c r="J15" s="9"/>
      <c r="K15" s="11"/>
      <c r="L15" s="230"/>
      <c r="M15" s="228"/>
      <c r="N15" s="9"/>
      <c r="O15" s="9"/>
      <c r="P15" s="9"/>
      <c r="Q15" s="11"/>
      <c r="R15" s="230"/>
      <c r="S15" s="228"/>
      <c r="T15" s="9"/>
      <c r="U15" s="9"/>
      <c r="V15" s="227"/>
      <c r="W15" s="228"/>
      <c r="X15" s="227"/>
      <c r="Y15" s="229"/>
      <c r="Z15" s="230"/>
      <c r="AA15" s="228"/>
      <c r="AB15" s="9"/>
      <c r="AC15" s="9"/>
      <c r="AD15" s="9"/>
      <c r="AE15" s="11"/>
      <c r="AF15" s="10"/>
      <c r="AG15" s="227"/>
      <c r="AH15" s="228"/>
      <c r="AI15" s="9"/>
      <c r="AJ15" s="9"/>
      <c r="AK15" s="227" t="s">
        <v>5</v>
      </c>
      <c r="AL15" s="229"/>
      <c r="AM15" s="212">
        <f t="shared" si="0"/>
        <v>0</v>
      </c>
      <c r="AN15" s="213"/>
      <c r="AO15" s="212">
        <f t="shared" si="1"/>
        <v>22</v>
      </c>
      <c r="AP15" s="213"/>
      <c r="AQ15" s="214" t="s">
        <v>5</v>
      </c>
      <c r="AR15" s="215"/>
      <c r="AS15" s="215"/>
      <c r="AT15" s="215"/>
      <c r="AU15" s="216"/>
      <c r="AW15" s="8"/>
      <c r="AY15" s="7"/>
    </row>
    <row r="16" spans="1:51" ht="19.899999999999999" customHeight="1">
      <c r="A16" s="220">
        <v>9</v>
      </c>
      <c r="B16" s="221"/>
      <c r="C16" s="231" t="s">
        <v>104</v>
      </c>
      <c r="D16" s="232"/>
      <c r="E16" s="233"/>
      <c r="F16" s="230"/>
      <c r="G16" s="228"/>
      <c r="H16" s="9"/>
      <c r="I16" s="9"/>
      <c r="J16" s="9"/>
      <c r="K16" s="11"/>
      <c r="L16" s="230"/>
      <c r="M16" s="228"/>
      <c r="N16" s="9"/>
      <c r="O16" s="9"/>
      <c r="P16" s="9"/>
      <c r="Q16" s="11"/>
      <c r="R16" s="230"/>
      <c r="S16" s="228"/>
      <c r="T16" s="9"/>
      <c r="U16" s="9"/>
      <c r="V16" s="227"/>
      <c r="W16" s="228"/>
      <c r="X16" s="227"/>
      <c r="Y16" s="229"/>
      <c r="Z16" s="230"/>
      <c r="AA16" s="228"/>
      <c r="AB16" s="9"/>
      <c r="AC16" s="9"/>
      <c r="AD16" s="9"/>
      <c r="AE16" s="11"/>
      <c r="AF16" s="10"/>
      <c r="AG16" s="227"/>
      <c r="AH16" s="228"/>
      <c r="AI16" s="9"/>
      <c r="AJ16" s="9"/>
      <c r="AK16" s="227" t="s">
        <v>5</v>
      </c>
      <c r="AL16" s="229"/>
      <c r="AM16" s="212">
        <f t="shared" si="0"/>
        <v>0</v>
      </c>
      <c r="AN16" s="213"/>
      <c r="AO16" s="212">
        <f t="shared" si="1"/>
        <v>22</v>
      </c>
      <c r="AP16" s="213"/>
      <c r="AQ16" s="214" t="s">
        <v>5</v>
      </c>
      <c r="AR16" s="215"/>
      <c r="AS16" s="215"/>
      <c r="AT16" s="215"/>
      <c r="AU16" s="216"/>
      <c r="AW16" s="8"/>
      <c r="AY16" s="7"/>
    </row>
    <row r="17" spans="1:51" ht="19.899999999999999" customHeight="1">
      <c r="A17" s="220">
        <v>10</v>
      </c>
      <c r="B17" s="221"/>
      <c r="C17" s="231" t="s">
        <v>105</v>
      </c>
      <c r="D17" s="232"/>
      <c r="E17" s="233"/>
      <c r="F17" s="230"/>
      <c r="G17" s="228"/>
      <c r="H17" s="9"/>
      <c r="I17" s="9"/>
      <c r="J17" s="9"/>
      <c r="K17" s="11"/>
      <c r="L17" s="230"/>
      <c r="M17" s="228"/>
      <c r="N17" s="9"/>
      <c r="O17" s="9"/>
      <c r="P17" s="9"/>
      <c r="Q17" s="11"/>
      <c r="R17" s="230"/>
      <c r="S17" s="228"/>
      <c r="T17" s="9"/>
      <c r="U17" s="9"/>
      <c r="V17" s="227"/>
      <c r="W17" s="228"/>
      <c r="X17" s="227"/>
      <c r="Y17" s="229"/>
      <c r="Z17" s="230"/>
      <c r="AA17" s="228"/>
      <c r="AB17" s="9"/>
      <c r="AC17" s="9"/>
      <c r="AD17" s="9"/>
      <c r="AE17" s="11"/>
      <c r="AF17" s="10"/>
      <c r="AG17" s="227"/>
      <c r="AH17" s="228"/>
      <c r="AI17" s="9"/>
      <c r="AJ17" s="9"/>
      <c r="AK17" s="227" t="s">
        <v>5</v>
      </c>
      <c r="AL17" s="229"/>
      <c r="AM17" s="212">
        <f t="shared" si="0"/>
        <v>0</v>
      </c>
      <c r="AN17" s="213"/>
      <c r="AO17" s="212">
        <f t="shared" si="1"/>
        <v>22</v>
      </c>
      <c r="AP17" s="213"/>
      <c r="AQ17" s="214" t="s">
        <v>5</v>
      </c>
      <c r="AR17" s="215"/>
      <c r="AS17" s="215"/>
      <c r="AT17" s="215"/>
      <c r="AU17" s="216"/>
      <c r="AW17" s="8"/>
      <c r="AY17" s="7"/>
    </row>
    <row r="18" spans="1:51" ht="19.899999999999999" customHeight="1">
      <c r="A18" s="220">
        <v>11</v>
      </c>
      <c r="B18" s="221"/>
      <c r="C18" s="231" t="s">
        <v>106</v>
      </c>
      <c r="D18" s="232"/>
      <c r="E18" s="233"/>
      <c r="F18" s="230"/>
      <c r="G18" s="228"/>
      <c r="H18" s="9"/>
      <c r="I18" s="9" t="s">
        <v>5</v>
      </c>
      <c r="J18" s="9" t="s">
        <v>5</v>
      </c>
      <c r="K18" s="11" t="s">
        <v>5</v>
      </c>
      <c r="L18" s="230"/>
      <c r="M18" s="228"/>
      <c r="N18" s="9"/>
      <c r="O18" s="9"/>
      <c r="P18" s="9"/>
      <c r="Q18" s="11"/>
      <c r="R18" s="230"/>
      <c r="S18" s="228"/>
      <c r="T18" s="9"/>
      <c r="U18" s="9"/>
      <c r="V18" s="227"/>
      <c r="W18" s="228"/>
      <c r="X18" s="227"/>
      <c r="Y18" s="229"/>
      <c r="Z18" s="230"/>
      <c r="AA18" s="228"/>
      <c r="AB18" s="9"/>
      <c r="AC18" s="9"/>
      <c r="AD18" s="9"/>
      <c r="AE18" s="11"/>
      <c r="AF18" s="10"/>
      <c r="AG18" s="227"/>
      <c r="AH18" s="228"/>
      <c r="AI18" s="9"/>
      <c r="AJ18" s="9"/>
      <c r="AK18" s="227" t="s">
        <v>5</v>
      </c>
      <c r="AL18" s="229"/>
      <c r="AM18" s="212">
        <f t="shared" si="0"/>
        <v>0</v>
      </c>
      <c r="AN18" s="213"/>
      <c r="AO18" s="212">
        <f t="shared" si="1"/>
        <v>22</v>
      </c>
      <c r="AP18" s="213"/>
      <c r="AQ18" s="214" t="s">
        <v>5</v>
      </c>
      <c r="AR18" s="215"/>
      <c r="AS18" s="215"/>
      <c r="AT18" s="215"/>
      <c r="AU18" s="216"/>
      <c r="AW18" s="8"/>
      <c r="AY18" s="7"/>
    </row>
    <row r="19" spans="1:51" ht="19.899999999999999" customHeight="1">
      <c r="A19" s="220">
        <v>12</v>
      </c>
      <c r="B19" s="221"/>
      <c r="C19" s="231" t="s">
        <v>107</v>
      </c>
      <c r="D19" s="232"/>
      <c r="E19" s="233"/>
      <c r="F19" s="230"/>
      <c r="G19" s="228"/>
      <c r="H19" s="9"/>
      <c r="I19" s="49" t="s">
        <v>126</v>
      </c>
      <c r="J19" s="9" t="s">
        <v>5</v>
      </c>
      <c r="K19" s="11" t="s">
        <v>5</v>
      </c>
      <c r="L19" s="295" t="s">
        <v>126</v>
      </c>
      <c r="M19" s="228"/>
      <c r="N19" s="9"/>
      <c r="O19" s="9"/>
      <c r="P19" s="9"/>
      <c r="Q19" s="11"/>
      <c r="R19" s="230"/>
      <c r="S19" s="228"/>
      <c r="T19" s="9"/>
      <c r="U19" s="9"/>
      <c r="V19" s="227"/>
      <c r="W19" s="228"/>
      <c r="X19" s="227"/>
      <c r="Y19" s="229"/>
      <c r="Z19" s="230"/>
      <c r="AA19" s="228"/>
      <c r="AB19" s="9"/>
      <c r="AC19" s="9"/>
      <c r="AD19" s="49" t="s">
        <v>126</v>
      </c>
      <c r="AE19" s="11"/>
      <c r="AF19" s="10"/>
      <c r="AG19" s="227"/>
      <c r="AH19" s="228"/>
      <c r="AI19" s="9"/>
      <c r="AJ19" s="9"/>
      <c r="AK19" s="227" t="s">
        <v>5</v>
      </c>
      <c r="AL19" s="229"/>
      <c r="AM19" s="212">
        <v>3</v>
      </c>
      <c r="AN19" s="213"/>
      <c r="AO19" s="212">
        <f t="shared" si="1"/>
        <v>19</v>
      </c>
      <c r="AP19" s="213"/>
      <c r="AQ19" s="214" t="s">
        <v>5</v>
      </c>
      <c r="AR19" s="215"/>
      <c r="AS19" s="215"/>
      <c r="AT19" s="215"/>
      <c r="AU19" s="216"/>
      <c r="AW19" s="8"/>
      <c r="AY19" s="7"/>
    </row>
    <row r="20" spans="1:51" ht="19.899999999999999" customHeight="1" thickBot="1">
      <c r="A20" s="220">
        <v>13</v>
      </c>
      <c r="B20" s="221"/>
      <c r="C20" s="231" t="s">
        <v>108</v>
      </c>
      <c r="D20" s="232"/>
      <c r="E20" s="233"/>
      <c r="F20" s="230"/>
      <c r="G20" s="228"/>
      <c r="H20" s="9"/>
      <c r="I20" s="9" t="s">
        <v>5</v>
      </c>
      <c r="J20" s="9" t="s">
        <v>5</v>
      </c>
      <c r="K20" s="11" t="s">
        <v>5</v>
      </c>
      <c r="L20" s="230"/>
      <c r="M20" s="228"/>
      <c r="N20" s="9"/>
      <c r="O20" s="9"/>
      <c r="P20" s="9"/>
      <c r="Q20" s="11"/>
      <c r="R20" s="230"/>
      <c r="S20" s="228"/>
      <c r="T20" s="9"/>
      <c r="U20" s="9"/>
      <c r="V20" s="227"/>
      <c r="W20" s="228"/>
      <c r="X20" s="227"/>
      <c r="Y20" s="229"/>
      <c r="Z20" s="230"/>
      <c r="AA20" s="228"/>
      <c r="AB20" s="9"/>
      <c r="AC20" s="9"/>
      <c r="AD20" s="9"/>
      <c r="AE20" s="11"/>
      <c r="AF20" s="10"/>
      <c r="AG20" s="227"/>
      <c r="AH20" s="228"/>
      <c r="AI20" s="9"/>
      <c r="AJ20" s="9"/>
      <c r="AK20" s="227" t="s">
        <v>5</v>
      </c>
      <c r="AL20" s="229"/>
      <c r="AM20" s="212">
        <f t="shared" si="0"/>
        <v>0</v>
      </c>
      <c r="AN20" s="213"/>
      <c r="AO20" s="212">
        <f t="shared" si="1"/>
        <v>22</v>
      </c>
      <c r="AP20" s="213"/>
      <c r="AQ20" s="214" t="s">
        <v>5</v>
      </c>
      <c r="AR20" s="215"/>
      <c r="AS20" s="215"/>
      <c r="AT20" s="215"/>
      <c r="AU20" s="216"/>
      <c r="AW20" s="8"/>
      <c r="AY20" s="7"/>
    </row>
    <row r="21" spans="1:51" ht="18" customHeight="1" thickBot="1">
      <c r="A21" s="220">
        <v>14</v>
      </c>
      <c r="B21" s="221"/>
      <c r="C21" s="246"/>
      <c r="D21" s="247"/>
      <c r="E21" s="248"/>
      <c r="F21" s="230"/>
      <c r="G21" s="228"/>
      <c r="H21" s="9"/>
      <c r="I21" s="9" t="s">
        <v>5</v>
      </c>
      <c r="J21" s="9" t="s">
        <v>5</v>
      </c>
      <c r="K21" s="11" t="s">
        <v>5</v>
      </c>
      <c r="L21" s="230"/>
      <c r="M21" s="228"/>
      <c r="N21" s="9"/>
      <c r="O21" s="9"/>
      <c r="P21" s="9"/>
      <c r="Q21" s="11"/>
      <c r="R21" s="230"/>
      <c r="S21" s="228"/>
      <c r="T21" s="9"/>
      <c r="U21" s="9"/>
      <c r="V21" s="227"/>
      <c r="W21" s="228"/>
      <c r="X21" s="227"/>
      <c r="Y21" s="229"/>
      <c r="Z21" s="230"/>
      <c r="AA21" s="228"/>
      <c r="AB21" s="9"/>
      <c r="AC21" s="9"/>
      <c r="AD21" s="9"/>
      <c r="AE21" s="11"/>
      <c r="AF21" s="10"/>
      <c r="AG21" s="227"/>
      <c r="AH21" s="228"/>
      <c r="AI21" s="9"/>
      <c r="AJ21" s="9"/>
      <c r="AK21" s="227" t="s">
        <v>5</v>
      </c>
      <c r="AL21" s="229"/>
      <c r="AM21" s="212">
        <f t="shared" si="0"/>
        <v>0</v>
      </c>
      <c r="AN21" s="213"/>
      <c r="AO21" s="212">
        <f t="shared" si="1"/>
        <v>22</v>
      </c>
      <c r="AP21" s="213"/>
      <c r="AQ21" s="214" t="s">
        <v>5</v>
      </c>
      <c r="AR21" s="215"/>
      <c r="AS21" s="215"/>
      <c r="AT21" s="215"/>
      <c r="AU21" s="216"/>
      <c r="AW21" s="8"/>
      <c r="AY21" s="7"/>
    </row>
    <row r="22" spans="1:51" ht="19.5" hidden="1" customHeight="1" thickBot="1">
      <c r="A22" s="220">
        <v>15</v>
      </c>
      <c r="B22" s="221"/>
      <c r="C22" s="246"/>
      <c r="D22" s="247"/>
      <c r="E22" s="248"/>
      <c r="F22" s="230"/>
      <c r="G22" s="228"/>
      <c r="H22" s="9"/>
      <c r="I22" s="9" t="s">
        <v>5</v>
      </c>
      <c r="J22" s="9" t="s">
        <v>5</v>
      </c>
      <c r="K22" s="11" t="s">
        <v>5</v>
      </c>
      <c r="L22" s="230"/>
      <c r="M22" s="228"/>
      <c r="N22" s="9"/>
      <c r="O22" s="9"/>
      <c r="P22" s="9"/>
      <c r="Q22" s="11"/>
      <c r="R22" s="230"/>
      <c r="S22" s="228"/>
      <c r="T22" s="9"/>
      <c r="U22" s="9"/>
      <c r="V22" s="227"/>
      <c r="W22" s="228"/>
      <c r="X22" s="227"/>
      <c r="Y22" s="229"/>
      <c r="Z22" s="230"/>
      <c r="AA22" s="228"/>
      <c r="AB22" s="9"/>
      <c r="AC22" s="9"/>
      <c r="AD22" s="9"/>
      <c r="AE22" s="11"/>
      <c r="AF22" s="10"/>
      <c r="AG22" s="227"/>
      <c r="AH22" s="228"/>
      <c r="AI22" s="9"/>
      <c r="AJ22" s="9"/>
      <c r="AK22" s="227" t="s">
        <v>5</v>
      </c>
      <c r="AL22" s="229"/>
      <c r="AM22" s="212">
        <f t="shared" si="0"/>
        <v>0</v>
      </c>
      <c r="AN22" s="213"/>
      <c r="AO22" s="212">
        <f t="shared" si="1"/>
        <v>22</v>
      </c>
      <c r="AP22" s="213"/>
      <c r="AQ22" s="214" t="s">
        <v>5</v>
      </c>
      <c r="AR22" s="215"/>
      <c r="AS22" s="215"/>
      <c r="AT22" s="215"/>
      <c r="AU22" s="216"/>
      <c r="AW22" s="8"/>
      <c r="AY22" s="7"/>
    </row>
    <row r="23" spans="1:51" ht="19.5" hidden="1" customHeight="1" thickBot="1">
      <c r="A23" s="220">
        <v>16</v>
      </c>
      <c r="B23" s="221"/>
      <c r="C23" s="246"/>
      <c r="D23" s="247"/>
      <c r="E23" s="248"/>
      <c r="F23" s="230"/>
      <c r="G23" s="228"/>
      <c r="H23" s="9"/>
      <c r="I23" s="9" t="s">
        <v>5</v>
      </c>
      <c r="J23" s="9" t="s">
        <v>5</v>
      </c>
      <c r="K23" s="11" t="s">
        <v>5</v>
      </c>
      <c r="L23" s="230"/>
      <c r="M23" s="228"/>
      <c r="N23" s="9"/>
      <c r="O23" s="9"/>
      <c r="P23" s="9"/>
      <c r="Q23" s="11"/>
      <c r="R23" s="230"/>
      <c r="S23" s="228"/>
      <c r="T23" s="9"/>
      <c r="U23" s="9"/>
      <c r="V23" s="227"/>
      <c r="W23" s="228"/>
      <c r="X23" s="227"/>
      <c r="Y23" s="229"/>
      <c r="Z23" s="230"/>
      <c r="AA23" s="228"/>
      <c r="AB23" s="9"/>
      <c r="AC23" s="9"/>
      <c r="AD23" s="9"/>
      <c r="AE23" s="11"/>
      <c r="AF23" s="10"/>
      <c r="AG23" s="227"/>
      <c r="AH23" s="228"/>
      <c r="AI23" s="9"/>
      <c r="AJ23" s="9"/>
      <c r="AK23" s="227" t="s">
        <v>5</v>
      </c>
      <c r="AL23" s="229"/>
      <c r="AM23" s="212">
        <f t="shared" si="0"/>
        <v>0</v>
      </c>
      <c r="AN23" s="213"/>
      <c r="AO23" s="212">
        <f t="shared" si="1"/>
        <v>22</v>
      </c>
      <c r="AP23" s="213"/>
      <c r="AQ23" s="214" t="s">
        <v>5</v>
      </c>
      <c r="AR23" s="215"/>
      <c r="AS23" s="215"/>
      <c r="AT23" s="215"/>
      <c r="AU23" s="216"/>
      <c r="AW23" s="8"/>
      <c r="AY23" s="7"/>
    </row>
    <row r="24" spans="1:51" ht="19.5" hidden="1" customHeight="1" thickBot="1">
      <c r="A24" s="220">
        <v>17</v>
      </c>
      <c r="B24" s="221"/>
      <c r="C24" s="246"/>
      <c r="D24" s="247"/>
      <c r="E24" s="248"/>
      <c r="F24" s="230"/>
      <c r="G24" s="228"/>
      <c r="H24" s="9"/>
      <c r="I24" s="9" t="s">
        <v>5</v>
      </c>
      <c r="J24" s="9" t="s">
        <v>5</v>
      </c>
      <c r="K24" s="11" t="s">
        <v>5</v>
      </c>
      <c r="L24" s="230"/>
      <c r="M24" s="228"/>
      <c r="N24" s="9"/>
      <c r="O24" s="9"/>
      <c r="P24" s="9"/>
      <c r="Q24" s="11"/>
      <c r="R24" s="230"/>
      <c r="S24" s="228"/>
      <c r="T24" s="9"/>
      <c r="U24" s="9"/>
      <c r="V24" s="227"/>
      <c r="W24" s="228"/>
      <c r="X24" s="227"/>
      <c r="Y24" s="229"/>
      <c r="Z24" s="230"/>
      <c r="AA24" s="228"/>
      <c r="AB24" s="9"/>
      <c r="AC24" s="9"/>
      <c r="AD24" s="9"/>
      <c r="AE24" s="11"/>
      <c r="AF24" s="10"/>
      <c r="AG24" s="227"/>
      <c r="AH24" s="228"/>
      <c r="AI24" s="9"/>
      <c r="AJ24" s="9"/>
      <c r="AK24" s="227" t="s">
        <v>5</v>
      </c>
      <c r="AL24" s="229"/>
      <c r="AM24" s="212">
        <f t="shared" si="0"/>
        <v>0</v>
      </c>
      <c r="AN24" s="213"/>
      <c r="AO24" s="212">
        <f t="shared" si="1"/>
        <v>22</v>
      </c>
      <c r="AP24" s="213"/>
      <c r="AQ24" s="214" t="s">
        <v>5</v>
      </c>
      <c r="AR24" s="215"/>
      <c r="AS24" s="215"/>
      <c r="AT24" s="215"/>
      <c r="AU24" s="216"/>
      <c r="AW24" s="8"/>
      <c r="AY24" s="7"/>
    </row>
    <row r="25" spans="1:51" ht="19.5" hidden="1" customHeight="1" thickBot="1">
      <c r="A25" s="220">
        <v>18</v>
      </c>
      <c r="B25" s="221"/>
      <c r="C25" s="246"/>
      <c r="D25" s="247"/>
      <c r="E25" s="248"/>
      <c r="F25" s="230"/>
      <c r="G25" s="228"/>
      <c r="H25" s="9"/>
      <c r="I25" s="9" t="s">
        <v>5</v>
      </c>
      <c r="J25" s="9" t="s">
        <v>5</v>
      </c>
      <c r="K25" s="11" t="s">
        <v>5</v>
      </c>
      <c r="L25" s="230"/>
      <c r="M25" s="228"/>
      <c r="N25" s="9"/>
      <c r="O25" s="9"/>
      <c r="P25" s="9"/>
      <c r="Q25" s="11"/>
      <c r="R25" s="230"/>
      <c r="S25" s="228"/>
      <c r="T25" s="9"/>
      <c r="U25" s="9"/>
      <c r="V25" s="227"/>
      <c r="W25" s="228"/>
      <c r="X25" s="227"/>
      <c r="Y25" s="229"/>
      <c r="Z25" s="230"/>
      <c r="AA25" s="228"/>
      <c r="AB25" s="9"/>
      <c r="AC25" s="9"/>
      <c r="AD25" s="9"/>
      <c r="AE25" s="11"/>
      <c r="AF25" s="10"/>
      <c r="AG25" s="227"/>
      <c r="AH25" s="228"/>
      <c r="AI25" s="9"/>
      <c r="AJ25" s="9"/>
      <c r="AK25" s="227" t="s">
        <v>5</v>
      </c>
      <c r="AL25" s="229"/>
      <c r="AM25" s="212">
        <f t="shared" si="0"/>
        <v>0</v>
      </c>
      <c r="AN25" s="213"/>
      <c r="AO25" s="212">
        <f t="shared" si="1"/>
        <v>22</v>
      </c>
      <c r="AP25" s="213"/>
      <c r="AQ25" s="214" t="s">
        <v>5</v>
      </c>
      <c r="AR25" s="215"/>
      <c r="AS25" s="215"/>
      <c r="AT25" s="215"/>
      <c r="AU25" s="216"/>
      <c r="AW25" s="8"/>
      <c r="AY25" s="7"/>
    </row>
    <row r="26" spans="1:51" ht="19.5" hidden="1" customHeight="1" thickBot="1">
      <c r="A26" s="220">
        <v>19</v>
      </c>
      <c r="B26" s="221"/>
      <c r="C26" s="249"/>
      <c r="D26" s="250"/>
      <c r="E26" s="54"/>
      <c r="F26" s="58"/>
      <c r="G26" s="59"/>
      <c r="H26" s="9"/>
      <c r="I26" s="9"/>
      <c r="J26" s="9"/>
      <c r="K26" s="11"/>
      <c r="L26" s="58"/>
      <c r="M26" s="59"/>
      <c r="N26" s="9"/>
      <c r="O26" s="9"/>
      <c r="P26" s="9"/>
      <c r="Q26" s="11"/>
      <c r="R26" s="58"/>
      <c r="S26" s="59"/>
      <c r="T26" s="9"/>
      <c r="U26" s="9"/>
      <c r="V26" s="56"/>
      <c r="W26" s="59"/>
      <c r="X26" s="56"/>
      <c r="Y26" s="57"/>
      <c r="Z26" s="58"/>
      <c r="AA26" s="59"/>
      <c r="AB26" s="9"/>
      <c r="AC26" s="9"/>
      <c r="AD26" s="9"/>
      <c r="AE26" s="11"/>
      <c r="AF26" s="10"/>
      <c r="AG26" s="56"/>
      <c r="AH26" s="59"/>
      <c r="AI26" s="9"/>
      <c r="AJ26" s="9"/>
      <c r="AK26" s="56"/>
      <c r="AL26" s="57"/>
      <c r="AM26" s="212">
        <f t="shared" si="0"/>
        <v>0</v>
      </c>
      <c r="AN26" s="213"/>
      <c r="AO26" s="212">
        <f t="shared" si="1"/>
        <v>22</v>
      </c>
      <c r="AP26" s="213"/>
      <c r="AQ26" s="245"/>
      <c r="AR26" s="215"/>
      <c r="AS26" s="215"/>
      <c r="AT26" s="215"/>
      <c r="AU26" s="37"/>
      <c r="AW26" s="8"/>
      <c r="AY26" s="7"/>
    </row>
    <row r="27" spans="1:51" ht="19.5" hidden="1" customHeight="1" thickBot="1">
      <c r="A27" s="220">
        <v>20</v>
      </c>
      <c r="B27" s="221"/>
      <c r="C27" s="246"/>
      <c r="D27" s="247"/>
      <c r="E27" s="248"/>
      <c r="F27" s="230"/>
      <c r="G27" s="228"/>
      <c r="H27" s="9"/>
      <c r="I27" s="9" t="s">
        <v>5</v>
      </c>
      <c r="J27" s="9" t="s">
        <v>5</v>
      </c>
      <c r="K27" s="11" t="s">
        <v>5</v>
      </c>
      <c r="L27" s="230"/>
      <c r="M27" s="228"/>
      <c r="N27" s="9"/>
      <c r="O27" s="9"/>
      <c r="P27" s="9"/>
      <c r="Q27" s="11"/>
      <c r="R27" s="230"/>
      <c r="S27" s="228"/>
      <c r="T27" s="9"/>
      <c r="U27" s="9"/>
      <c r="V27" s="227"/>
      <c r="W27" s="228"/>
      <c r="X27" s="227"/>
      <c r="Y27" s="229"/>
      <c r="Z27" s="230"/>
      <c r="AA27" s="228"/>
      <c r="AB27" s="9"/>
      <c r="AC27" s="9"/>
      <c r="AD27" s="9"/>
      <c r="AE27" s="11"/>
      <c r="AF27" s="10"/>
      <c r="AG27" s="227"/>
      <c r="AH27" s="228"/>
      <c r="AI27" s="9"/>
      <c r="AJ27" s="9"/>
      <c r="AK27" s="227" t="s">
        <v>5</v>
      </c>
      <c r="AL27" s="229"/>
      <c r="AM27" s="212">
        <f t="shared" si="0"/>
        <v>0</v>
      </c>
      <c r="AN27" s="213"/>
      <c r="AO27" s="212">
        <f t="shared" si="1"/>
        <v>22</v>
      </c>
      <c r="AP27" s="213"/>
      <c r="AQ27" s="245" t="s">
        <v>5</v>
      </c>
      <c r="AR27" s="215"/>
      <c r="AS27" s="215"/>
      <c r="AT27" s="215"/>
      <c r="AU27" s="216"/>
      <c r="AW27" s="8"/>
      <c r="AY27" s="7"/>
    </row>
    <row r="28" spans="1:51" ht="19.5" hidden="1" customHeight="1" thickBot="1">
      <c r="A28" s="220">
        <v>21</v>
      </c>
      <c r="B28" s="221"/>
      <c r="C28" s="246"/>
      <c r="D28" s="247"/>
      <c r="E28" s="248"/>
      <c r="F28" s="226"/>
      <c r="G28" s="210"/>
      <c r="H28" s="16"/>
      <c r="I28" s="16" t="s">
        <v>5</v>
      </c>
      <c r="J28" s="16" t="s">
        <v>5</v>
      </c>
      <c r="K28" s="17" t="s">
        <v>5</v>
      </c>
      <c r="L28" s="226"/>
      <c r="M28" s="210"/>
      <c r="N28" s="16"/>
      <c r="O28" s="16"/>
      <c r="P28" s="16"/>
      <c r="Q28" s="17"/>
      <c r="R28" s="226"/>
      <c r="S28" s="210"/>
      <c r="T28" s="16"/>
      <c r="U28" s="16"/>
      <c r="V28" s="209"/>
      <c r="W28" s="210"/>
      <c r="X28" s="209"/>
      <c r="Y28" s="211"/>
      <c r="Z28" s="226"/>
      <c r="AA28" s="210"/>
      <c r="AB28" s="16"/>
      <c r="AC28" s="16"/>
      <c r="AD28" s="16"/>
      <c r="AE28" s="17"/>
      <c r="AF28" s="15"/>
      <c r="AG28" s="209"/>
      <c r="AH28" s="210"/>
      <c r="AI28" s="16"/>
      <c r="AJ28" s="16"/>
      <c r="AK28" s="209" t="s">
        <v>5</v>
      </c>
      <c r="AL28" s="211"/>
      <c r="AM28" s="212">
        <f t="shared" si="0"/>
        <v>0</v>
      </c>
      <c r="AN28" s="213"/>
      <c r="AO28" s="212">
        <f t="shared" si="1"/>
        <v>22</v>
      </c>
      <c r="AP28" s="213"/>
      <c r="AQ28" s="214" t="s">
        <v>5</v>
      </c>
      <c r="AR28" s="215"/>
      <c r="AS28" s="215"/>
      <c r="AT28" s="215"/>
      <c r="AU28" s="216"/>
      <c r="AW28" s="217" t="s">
        <v>74</v>
      </c>
      <c r="AX28" s="218"/>
      <c r="AY28" s="219"/>
    </row>
    <row r="29" spans="1:51" ht="19.899999999999999" customHeight="1" thickTop="1" thickBot="1">
      <c r="A29" s="187">
        <v>13</v>
      </c>
      <c r="B29" s="188"/>
      <c r="C29" s="205" t="s">
        <v>21</v>
      </c>
      <c r="D29" s="206"/>
      <c r="E29" s="206"/>
      <c r="F29" s="243">
        <v>13</v>
      </c>
      <c r="G29" s="241"/>
      <c r="H29" s="28">
        <v>13</v>
      </c>
      <c r="I29" s="28">
        <v>12</v>
      </c>
      <c r="J29" s="28">
        <v>13</v>
      </c>
      <c r="K29" s="28">
        <v>13</v>
      </c>
      <c r="L29" s="242">
        <v>11</v>
      </c>
      <c r="M29" s="241"/>
      <c r="N29" s="28">
        <v>12</v>
      </c>
      <c r="O29" s="28">
        <v>13</v>
      </c>
      <c r="P29" s="28">
        <v>13</v>
      </c>
      <c r="Q29" s="33">
        <v>12</v>
      </c>
      <c r="R29" s="244">
        <v>12</v>
      </c>
      <c r="S29" s="238"/>
      <c r="T29" s="26">
        <v>13</v>
      </c>
      <c r="U29" s="26">
        <v>12</v>
      </c>
      <c r="V29" s="238">
        <v>13</v>
      </c>
      <c r="W29" s="238"/>
      <c r="X29" s="238">
        <v>13</v>
      </c>
      <c r="Y29" s="239"/>
      <c r="Z29" s="240">
        <v>13</v>
      </c>
      <c r="AA29" s="241"/>
      <c r="AB29" s="28">
        <v>12</v>
      </c>
      <c r="AC29" s="28">
        <v>12</v>
      </c>
      <c r="AD29" s="28">
        <v>12</v>
      </c>
      <c r="AE29" s="32">
        <v>13</v>
      </c>
      <c r="AF29" s="34">
        <v>12</v>
      </c>
      <c r="AG29" s="242">
        <v>12</v>
      </c>
      <c r="AH29" s="241"/>
      <c r="AI29" s="28"/>
      <c r="AJ29" s="28"/>
      <c r="AK29" s="238"/>
      <c r="AL29" s="239"/>
      <c r="AM29" s="170">
        <f>SUM(AM8:AN28)</f>
        <v>12</v>
      </c>
      <c r="AN29" s="171"/>
      <c r="AO29" s="172">
        <v>274</v>
      </c>
      <c r="AP29" s="171"/>
      <c r="AQ29" s="173" t="s">
        <v>5</v>
      </c>
      <c r="AR29" s="174"/>
      <c r="AS29" s="174"/>
      <c r="AT29" s="174"/>
      <c r="AU29" s="175"/>
      <c r="AW29" s="12">
        <f>AW5</f>
        <v>22</v>
      </c>
      <c r="AX29" s="39">
        <v>13</v>
      </c>
      <c r="AY29" s="7">
        <f>AW29*AX29</f>
        <v>286</v>
      </c>
    </row>
    <row r="30" spans="1:51" ht="19.899999999999999" customHeight="1">
      <c r="A30" s="220">
        <v>1</v>
      </c>
      <c r="B30" s="221"/>
      <c r="C30" s="231" t="s">
        <v>109</v>
      </c>
      <c r="D30" s="232"/>
      <c r="E30" s="233"/>
      <c r="F30" s="230"/>
      <c r="G30" s="228"/>
      <c r="H30" s="29"/>
      <c r="I30" s="9"/>
      <c r="J30" s="9"/>
      <c r="K30" s="30"/>
      <c r="L30" s="237"/>
      <c r="M30" s="235"/>
      <c r="N30" s="9"/>
      <c r="O30" s="29"/>
      <c r="P30" s="29"/>
      <c r="Q30" s="30"/>
      <c r="R30" s="237"/>
      <c r="S30" s="235"/>
      <c r="T30" s="29"/>
      <c r="U30" s="29"/>
      <c r="V30" s="234"/>
      <c r="W30" s="235"/>
      <c r="X30" s="234"/>
      <c r="Y30" s="236"/>
      <c r="Z30" s="237"/>
      <c r="AA30" s="235"/>
      <c r="AB30" s="29"/>
      <c r="AC30" s="29"/>
      <c r="AD30" s="29"/>
      <c r="AE30" s="30"/>
      <c r="AF30" s="31"/>
      <c r="AG30" s="234"/>
      <c r="AH30" s="235"/>
      <c r="AI30" s="29"/>
      <c r="AJ30" s="9"/>
      <c r="AK30" s="234"/>
      <c r="AL30" s="236"/>
      <c r="AM30" s="212">
        <f t="shared" ref="AM30:AM48" si="2">COUNTIF(F30:AL30,"X")</f>
        <v>0</v>
      </c>
      <c r="AN30" s="213"/>
      <c r="AO30" s="212">
        <f t="shared" ref="AO30:AO48" si="3">$AW$5-AM30</f>
        <v>22</v>
      </c>
      <c r="AP30" s="213"/>
      <c r="AQ30" s="214" t="s">
        <v>5</v>
      </c>
      <c r="AR30" s="215"/>
      <c r="AS30" s="215"/>
      <c r="AT30" s="215"/>
      <c r="AU30" s="216"/>
      <c r="AW30" s="8"/>
      <c r="AY30" s="7"/>
    </row>
    <row r="31" spans="1:51" ht="19.899999999999999" customHeight="1">
      <c r="A31" s="220">
        <v>2</v>
      </c>
      <c r="B31" s="221"/>
      <c r="C31" s="231" t="s">
        <v>110</v>
      </c>
      <c r="D31" s="232"/>
      <c r="E31" s="233"/>
      <c r="F31" s="230"/>
      <c r="G31" s="228"/>
      <c r="H31" s="9"/>
      <c r="I31" s="9"/>
      <c r="J31" s="9"/>
      <c r="K31" s="11"/>
      <c r="L31" s="230"/>
      <c r="M31" s="228"/>
      <c r="N31" s="9"/>
      <c r="O31" s="9"/>
      <c r="P31" s="9"/>
      <c r="Q31" s="11"/>
      <c r="R31" s="230"/>
      <c r="S31" s="228"/>
      <c r="T31" s="9"/>
      <c r="U31" s="9"/>
      <c r="V31" s="227"/>
      <c r="W31" s="228"/>
      <c r="X31" s="227"/>
      <c r="Y31" s="229"/>
      <c r="Z31" s="230"/>
      <c r="AA31" s="228"/>
      <c r="AB31" s="9"/>
      <c r="AC31" s="9"/>
      <c r="AD31" s="9"/>
      <c r="AE31" s="11"/>
      <c r="AF31" s="10"/>
      <c r="AG31" s="227"/>
      <c r="AH31" s="228"/>
      <c r="AI31" s="9"/>
      <c r="AJ31" s="9"/>
      <c r="AK31" s="227"/>
      <c r="AL31" s="229"/>
      <c r="AM31" s="212">
        <f t="shared" si="2"/>
        <v>0</v>
      </c>
      <c r="AN31" s="213"/>
      <c r="AO31" s="212">
        <f t="shared" si="3"/>
        <v>22</v>
      </c>
      <c r="AP31" s="213"/>
      <c r="AQ31" s="214" t="s">
        <v>5</v>
      </c>
      <c r="AR31" s="215"/>
      <c r="AS31" s="215"/>
      <c r="AT31" s="215"/>
      <c r="AU31" s="216"/>
      <c r="AW31" s="8"/>
      <c r="AY31" s="7"/>
    </row>
    <row r="32" spans="1:51" ht="19.899999999999999" customHeight="1">
      <c r="A32" s="220">
        <v>3</v>
      </c>
      <c r="B32" s="221"/>
      <c r="C32" s="231" t="s">
        <v>111</v>
      </c>
      <c r="D32" s="232"/>
      <c r="E32" s="233"/>
      <c r="F32" s="230"/>
      <c r="G32" s="228"/>
      <c r="H32" s="9"/>
      <c r="I32" s="9"/>
      <c r="J32" s="9"/>
      <c r="K32" s="50" t="s">
        <v>126</v>
      </c>
      <c r="L32" s="295" t="s">
        <v>126</v>
      </c>
      <c r="M32" s="228"/>
      <c r="N32" s="9"/>
      <c r="O32" s="9"/>
      <c r="P32" s="9"/>
      <c r="Q32" s="11"/>
      <c r="R32" s="230"/>
      <c r="S32" s="228"/>
      <c r="T32" s="9"/>
      <c r="U32" s="9"/>
      <c r="V32" s="227"/>
      <c r="W32" s="228"/>
      <c r="X32" s="227"/>
      <c r="Y32" s="229"/>
      <c r="Z32" s="230"/>
      <c r="AA32" s="228"/>
      <c r="AB32" s="49" t="s">
        <v>126</v>
      </c>
      <c r="AC32" s="9"/>
      <c r="AD32" s="9"/>
      <c r="AE32" s="50" t="s">
        <v>126</v>
      </c>
      <c r="AF32" s="10"/>
      <c r="AG32" s="227"/>
      <c r="AH32" s="228"/>
      <c r="AI32" s="9"/>
      <c r="AJ32" s="9"/>
      <c r="AK32" s="227"/>
      <c r="AL32" s="229"/>
      <c r="AM32" s="212">
        <v>4</v>
      </c>
      <c r="AN32" s="213"/>
      <c r="AO32" s="212">
        <f t="shared" si="3"/>
        <v>18</v>
      </c>
      <c r="AP32" s="213"/>
      <c r="AQ32" s="214" t="s">
        <v>5</v>
      </c>
      <c r="AR32" s="215"/>
      <c r="AS32" s="215"/>
      <c r="AT32" s="215"/>
      <c r="AU32" s="216"/>
      <c r="AW32" s="8"/>
      <c r="AY32" s="7"/>
    </row>
    <row r="33" spans="1:51" ht="19.899999999999999" customHeight="1">
      <c r="A33" s="220">
        <v>4</v>
      </c>
      <c r="B33" s="221"/>
      <c r="C33" s="231" t="s">
        <v>112</v>
      </c>
      <c r="D33" s="232"/>
      <c r="E33" s="233"/>
      <c r="F33" s="230"/>
      <c r="G33" s="228"/>
      <c r="H33" s="9"/>
      <c r="I33" s="9"/>
      <c r="J33" s="9"/>
      <c r="K33" s="11"/>
      <c r="L33" s="230"/>
      <c r="M33" s="228"/>
      <c r="N33" s="9"/>
      <c r="O33" s="9"/>
      <c r="P33" s="9"/>
      <c r="Q33" s="11"/>
      <c r="R33" s="230"/>
      <c r="S33" s="228"/>
      <c r="T33" s="9"/>
      <c r="U33" s="9"/>
      <c r="V33" s="227"/>
      <c r="W33" s="228"/>
      <c r="X33" s="227"/>
      <c r="Y33" s="229"/>
      <c r="Z33" s="230"/>
      <c r="AA33" s="228"/>
      <c r="AB33" s="9"/>
      <c r="AC33" s="9"/>
      <c r="AD33" s="9"/>
      <c r="AE33" s="11"/>
      <c r="AF33" s="10"/>
      <c r="AG33" s="227"/>
      <c r="AH33" s="228"/>
      <c r="AI33" s="9"/>
      <c r="AJ33" s="9"/>
      <c r="AK33" s="227"/>
      <c r="AL33" s="229"/>
      <c r="AM33" s="212">
        <f t="shared" si="2"/>
        <v>0</v>
      </c>
      <c r="AN33" s="213"/>
      <c r="AO33" s="212">
        <f t="shared" si="3"/>
        <v>22</v>
      </c>
      <c r="AP33" s="213"/>
      <c r="AQ33" s="214" t="s">
        <v>5</v>
      </c>
      <c r="AR33" s="215"/>
      <c r="AS33" s="215"/>
      <c r="AT33" s="215"/>
      <c r="AU33" s="216"/>
      <c r="AW33" s="8"/>
      <c r="AY33" s="7"/>
    </row>
    <row r="34" spans="1:51" ht="19.899999999999999" customHeight="1">
      <c r="A34" s="220">
        <v>5</v>
      </c>
      <c r="B34" s="221"/>
      <c r="C34" s="231" t="s">
        <v>113</v>
      </c>
      <c r="D34" s="232"/>
      <c r="E34" s="233"/>
      <c r="F34" s="230"/>
      <c r="G34" s="228"/>
      <c r="H34" s="9"/>
      <c r="I34" s="9"/>
      <c r="J34" s="9"/>
      <c r="K34" s="11"/>
      <c r="L34" s="230"/>
      <c r="M34" s="228"/>
      <c r="N34" s="9"/>
      <c r="O34" s="9"/>
      <c r="P34" s="9"/>
      <c r="Q34" s="11"/>
      <c r="R34" s="230"/>
      <c r="S34" s="228"/>
      <c r="T34" s="9"/>
      <c r="U34" s="9"/>
      <c r="V34" s="227"/>
      <c r="W34" s="228"/>
      <c r="X34" s="227"/>
      <c r="Y34" s="229"/>
      <c r="Z34" s="230"/>
      <c r="AA34" s="228"/>
      <c r="AB34" s="9"/>
      <c r="AC34" s="9"/>
      <c r="AD34" s="9"/>
      <c r="AE34" s="11"/>
      <c r="AF34" s="10"/>
      <c r="AG34" s="227"/>
      <c r="AH34" s="228"/>
      <c r="AI34" s="9"/>
      <c r="AJ34" s="9"/>
      <c r="AK34" s="227"/>
      <c r="AL34" s="229"/>
      <c r="AM34" s="212">
        <f t="shared" si="2"/>
        <v>0</v>
      </c>
      <c r="AN34" s="213"/>
      <c r="AO34" s="212">
        <f t="shared" si="3"/>
        <v>22</v>
      </c>
      <c r="AP34" s="213"/>
      <c r="AQ34" s="214" t="s">
        <v>5</v>
      </c>
      <c r="AR34" s="215"/>
      <c r="AS34" s="215"/>
      <c r="AT34" s="215"/>
      <c r="AU34" s="216"/>
      <c r="AW34" s="8"/>
      <c r="AY34" s="7"/>
    </row>
    <row r="35" spans="1:51" ht="19.899999999999999" customHeight="1">
      <c r="A35" s="220">
        <v>6</v>
      </c>
      <c r="B35" s="221"/>
      <c r="C35" s="231" t="s">
        <v>114</v>
      </c>
      <c r="D35" s="232"/>
      <c r="E35" s="233"/>
      <c r="F35" s="230"/>
      <c r="G35" s="228"/>
      <c r="H35" s="9"/>
      <c r="I35" s="9"/>
      <c r="J35" s="9"/>
      <c r="K35" s="11"/>
      <c r="L35" s="230"/>
      <c r="M35" s="228"/>
      <c r="N35" s="9"/>
      <c r="O35" s="9"/>
      <c r="P35" s="9"/>
      <c r="Q35" s="11"/>
      <c r="R35" s="230"/>
      <c r="S35" s="228"/>
      <c r="T35" s="9"/>
      <c r="U35" s="9"/>
      <c r="V35" s="227"/>
      <c r="W35" s="228"/>
      <c r="X35" s="227"/>
      <c r="Y35" s="229"/>
      <c r="Z35" s="230"/>
      <c r="AA35" s="228"/>
      <c r="AB35" s="9"/>
      <c r="AC35" s="9"/>
      <c r="AD35" s="9"/>
      <c r="AE35" s="11"/>
      <c r="AF35" s="10"/>
      <c r="AG35" s="227"/>
      <c r="AH35" s="228"/>
      <c r="AI35" s="9"/>
      <c r="AJ35" s="9"/>
      <c r="AK35" s="227"/>
      <c r="AL35" s="229"/>
      <c r="AM35" s="212">
        <f t="shared" si="2"/>
        <v>0</v>
      </c>
      <c r="AN35" s="213"/>
      <c r="AO35" s="212">
        <f t="shared" si="3"/>
        <v>22</v>
      </c>
      <c r="AP35" s="213"/>
      <c r="AQ35" s="214" t="s">
        <v>5</v>
      </c>
      <c r="AR35" s="215"/>
      <c r="AS35" s="215"/>
      <c r="AT35" s="215"/>
      <c r="AU35" s="216"/>
      <c r="AW35" s="8"/>
      <c r="AY35" s="7"/>
    </row>
    <row r="36" spans="1:51" ht="19.899999999999999" customHeight="1">
      <c r="A36" s="220">
        <v>7</v>
      </c>
      <c r="B36" s="221"/>
      <c r="C36" s="231" t="s">
        <v>115</v>
      </c>
      <c r="D36" s="232"/>
      <c r="E36" s="233"/>
      <c r="F36" s="230"/>
      <c r="G36" s="228"/>
      <c r="H36" s="9"/>
      <c r="I36" s="9"/>
      <c r="J36" s="9"/>
      <c r="K36" s="11"/>
      <c r="L36" s="230"/>
      <c r="M36" s="228"/>
      <c r="N36" s="9"/>
      <c r="O36" s="9"/>
      <c r="P36" s="9"/>
      <c r="Q36" s="11"/>
      <c r="R36" s="230"/>
      <c r="S36" s="228"/>
      <c r="T36" s="9"/>
      <c r="U36" s="9"/>
      <c r="V36" s="227"/>
      <c r="W36" s="228"/>
      <c r="X36" s="227"/>
      <c r="Y36" s="229"/>
      <c r="Z36" s="230"/>
      <c r="AA36" s="228"/>
      <c r="AB36" s="9"/>
      <c r="AC36" s="9"/>
      <c r="AD36" s="9"/>
      <c r="AE36" s="11"/>
      <c r="AF36" s="10"/>
      <c r="AG36" s="227"/>
      <c r="AH36" s="228"/>
      <c r="AI36" s="9"/>
      <c r="AJ36" s="9"/>
      <c r="AK36" s="227"/>
      <c r="AL36" s="229"/>
      <c r="AM36" s="212">
        <f t="shared" si="2"/>
        <v>0</v>
      </c>
      <c r="AN36" s="213"/>
      <c r="AO36" s="212">
        <f t="shared" si="3"/>
        <v>22</v>
      </c>
      <c r="AP36" s="213"/>
      <c r="AQ36" s="214" t="s">
        <v>5</v>
      </c>
      <c r="AR36" s="215"/>
      <c r="AS36" s="215"/>
      <c r="AT36" s="215"/>
      <c r="AU36" s="216"/>
      <c r="AW36" s="8"/>
      <c r="AY36" s="7"/>
    </row>
    <row r="37" spans="1:51" ht="19.899999999999999" customHeight="1">
      <c r="A37" s="220">
        <v>8</v>
      </c>
      <c r="B37" s="221"/>
      <c r="C37" s="231" t="s">
        <v>116</v>
      </c>
      <c r="D37" s="232"/>
      <c r="E37" s="233"/>
      <c r="F37" s="230" t="s">
        <v>5</v>
      </c>
      <c r="G37" s="228"/>
      <c r="H37" s="9" t="s">
        <v>5</v>
      </c>
      <c r="I37" s="9" t="s">
        <v>5</v>
      </c>
      <c r="J37" s="9" t="s">
        <v>5</v>
      </c>
      <c r="K37" s="11" t="s">
        <v>5</v>
      </c>
      <c r="L37" s="230"/>
      <c r="M37" s="228"/>
      <c r="N37" s="9"/>
      <c r="O37" s="9"/>
      <c r="P37" s="9"/>
      <c r="Q37" s="11"/>
      <c r="R37" s="230"/>
      <c r="S37" s="228"/>
      <c r="T37" s="9"/>
      <c r="U37" s="9"/>
      <c r="V37" s="227"/>
      <c r="W37" s="228"/>
      <c r="X37" s="227"/>
      <c r="Y37" s="229"/>
      <c r="Z37" s="230"/>
      <c r="AA37" s="228"/>
      <c r="AB37" s="9"/>
      <c r="AC37" s="9"/>
      <c r="AD37" s="9"/>
      <c r="AE37" s="11"/>
      <c r="AF37" s="10"/>
      <c r="AG37" s="227"/>
      <c r="AH37" s="228"/>
      <c r="AI37" s="9"/>
      <c r="AJ37" s="9"/>
      <c r="AK37" s="227"/>
      <c r="AL37" s="229"/>
      <c r="AM37" s="212">
        <f t="shared" si="2"/>
        <v>0</v>
      </c>
      <c r="AN37" s="213"/>
      <c r="AO37" s="212">
        <f t="shared" si="3"/>
        <v>22</v>
      </c>
      <c r="AP37" s="213"/>
      <c r="AQ37" s="214" t="s">
        <v>5</v>
      </c>
      <c r="AR37" s="215"/>
      <c r="AS37" s="215"/>
      <c r="AT37" s="215"/>
      <c r="AU37" s="216"/>
      <c r="AW37" s="8"/>
      <c r="AY37" s="7"/>
    </row>
    <row r="38" spans="1:51" ht="19.899999999999999" customHeight="1">
      <c r="A38" s="220">
        <v>9</v>
      </c>
      <c r="B38" s="221"/>
      <c r="C38" s="231" t="s">
        <v>117</v>
      </c>
      <c r="D38" s="232"/>
      <c r="E38" s="233"/>
      <c r="F38" s="230" t="s">
        <v>5</v>
      </c>
      <c r="G38" s="228"/>
      <c r="H38" s="9" t="s">
        <v>5</v>
      </c>
      <c r="I38" s="9" t="s">
        <v>5</v>
      </c>
      <c r="J38" s="9" t="s">
        <v>5</v>
      </c>
      <c r="K38" s="11" t="s">
        <v>5</v>
      </c>
      <c r="L38" s="230"/>
      <c r="M38" s="228"/>
      <c r="N38" s="49" t="s">
        <v>126</v>
      </c>
      <c r="O38" s="9"/>
      <c r="P38" s="9"/>
      <c r="Q38" s="11"/>
      <c r="R38" s="230"/>
      <c r="S38" s="228"/>
      <c r="T38" s="9"/>
      <c r="U38" s="9"/>
      <c r="V38" s="227"/>
      <c r="W38" s="228"/>
      <c r="X38" s="296" t="s">
        <v>126</v>
      </c>
      <c r="Y38" s="229"/>
      <c r="Z38" s="230"/>
      <c r="AA38" s="228"/>
      <c r="AB38" s="9"/>
      <c r="AC38" s="9"/>
      <c r="AD38" s="9"/>
      <c r="AE38" s="11"/>
      <c r="AF38" s="10"/>
      <c r="AG38" s="227"/>
      <c r="AH38" s="228"/>
      <c r="AI38" s="9"/>
      <c r="AJ38" s="9"/>
      <c r="AK38" s="227"/>
      <c r="AL38" s="229"/>
      <c r="AM38" s="212">
        <v>2</v>
      </c>
      <c r="AN38" s="213"/>
      <c r="AO38" s="212">
        <f t="shared" si="3"/>
        <v>20</v>
      </c>
      <c r="AP38" s="213"/>
      <c r="AQ38" s="214" t="s">
        <v>5</v>
      </c>
      <c r="AR38" s="215"/>
      <c r="AS38" s="215"/>
      <c r="AT38" s="215"/>
      <c r="AU38" s="216"/>
      <c r="AW38" s="8"/>
      <c r="AY38" s="7"/>
    </row>
    <row r="39" spans="1:51" ht="19.899999999999999" customHeight="1">
      <c r="A39" s="220">
        <v>10</v>
      </c>
      <c r="B39" s="221"/>
      <c r="C39" s="231" t="s">
        <v>118</v>
      </c>
      <c r="D39" s="232"/>
      <c r="E39" s="233"/>
      <c r="F39" s="230" t="s">
        <v>5</v>
      </c>
      <c r="G39" s="228"/>
      <c r="H39" s="9" t="s">
        <v>5</v>
      </c>
      <c r="I39" s="9" t="s">
        <v>5</v>
      </c>
      <c r="J39" s="9" t="s">
        <v>5</v>
      </c>
      <c r="K39" s="11" t="s">
        <v>5</v>
      </c>
      <c r="L39" s="230"/>
      <c r="M39" s="228"/>
      <c r="N39" s="9"/>
      <c r="O39" s="9"/>
      <c r="P39" s="49" t="s">
        <v>126</v>
      </c>
      <c r="Q39" s="50" t="s">
        <v>126</v>
      </c>
      <c r="R39" s="230"/>
      <c r="S39" s="228"/>
      <c r="T39" s="9"/>
      <c r="U39" s="9"/>
      <c r="V39" s="227"/>
      <c r="W39" s="228"/>
      <c r="X39" s="227"/>
      <c r="Y39" s="229"/>
      <c r="Z39" s="230"/>
      <c r="AA39" s="228"/>
      <c r="AB39" s="9"/>
      <c r="AC39" s="9"/>
      <c r="AD39" s="9"/>
      <c r="AE39" s="11"/>
      <c r="AF39" s="10"/>
      <c r="AG39" s="227"/>
      <c r="AH39" s="228"/>
      <c r="AI39" s="9"/>
      <c r="AJ39" s="9"/>
      <c r="AK39" s="227"/>
      <c r="AL39" s="229"/>
      <c r="AM39" s="212">
        <v>2</v>
      </c>
      <c r="AN39" s="213"/>
      <c r="AO39" s="212">
        <f t="shared" si="3"/>
        <v>20</v>
      </c>
      <c r="AP39" s="213"/>
      <c r="AQ39" s="214" t="s">
        <v>5</v>
      </c>
      <c r="AR39" s="215"/>
      <c r="AS39" s="215"/>
      <c r="AT39" s="215"/>
      <c r="AU39" s="216"/>
      <c r="AW39" s="8"/>
      <c r="AY39" s="7"/>
    </row>
    <row r="40" spans="1:51" ht="19.899999999999999" customHeight="1">
      <c r="A40" s="220">
        <v>11</v>
      </c>
      <c r="B40" s="221"/>
      <c r="C40" s="231" t="s">
        <v>119</v>
      </c>
      <c r="D40" s="232"/>
      <c r="E40" s="233"/>
      <c r="F40" s="230" t="s">
        <v>5</v>
      </c>
      <c r="G40" s="228"/>
      <c r="H40" s="9" t="s">
        <v>5</v>
      </c>
      <c r="I40" s="9" t="s">
        <v>5</v>
      </c>
      <c r="J40" s="9" t="s">
        <v>5</v>
      </c>
      <c r="K40" s="11" t="s">
        <v>5</v>
      </c>
      <c r="L40" s="230"/>
      <c r="M40" s="228"/>
      <c r="N40" s="9"/>
      <c r="O40" s="9"/>
      <c r="P40" s="9"/>
      <c r="Q40" s="11"/>
      <c r="R40" s="230"/>
      <c r="S40" s="228"/>
      <c r="T40" s="9"/>
      <c r="U40" s="9"/>
      <c r="V40" s="227"/>
      <c r="W40" s="228"/>
      <c r="X40" s="227"/>
      <c r="Y40" s="229"/>
      <c r="Z40" s="230"/>
      <c r="AA40" s="228"/>
      <c r="AB40" s="9"/>
      <c r="AC40" s="9"/>
      <c r="AD40" s="9"/>
      <c r="AE40" s="11"/>
      <c r="AF40" s="10"/>
      <c r="AG40" s="227"/>
      <c r="AH40" s="228"/>
      <c r="AI40" s="9"/>
      <c r="AJ40" s="9"/>
      <c r="AK40" s="227"/>
      <c r="AL40" s="229"/>
      <c r="AM40" s="212">
        <f t="shared" si="2"/>
        <v>0</v>
      </c>
      <c r="AN40" s="213"/>
      <c r="AO40" s="212">
        <f t="shared" si="3"/>
        <v>22</v>
      </c>
      <c r="AP40" s="213"/>
      <c r="AQ40" s="214" t="s">
        <v>5</v>
      </c>
      <c r="AR40" s="215"/>
      <c r="AS40" s="215"/>
      <c r="AT40" s="215"/>
      <c r="AU40" s="216"/>
      <c r="AW40" s="8"/>
      <c r="AY40" s="7"/>
    </row>
    <row r="41" spans="1:51" ht="19.899999999999999" customHeight="1">
      <c r="A41" s="220">
        <v>12</v>
      </c>
      <c r="B41" s="221"/>
      <c r="C41" s="231" t="s">
        <v>120</v>
      </c>
      <c r="D41" s="232"/>
      <c r="E41" s="233"/>
      <c r="F41" s="230" t="s">
        <v>5</v>
      </c>
      <c r="G41" s="228"/>
      <c r="H41" s="9" t="s">
        <v>5</v>
      </c>
      <c r="I41" s="9" t="s">
        <v>5</v>
      </c>
      <c r="J41" s="9" t="s">
        <v>5</v>
      </c>
      <c r="K41" s="11" t="s">
        <v>5</v>
      </c>
      <c r="L41" s="230"/>
      <c r="M41" s="228"/>
      <c r="N41" s="9"/>
      <c r="O41" s="9"/>
      <c r="P41" s="9"/>
      <c r="Q41" s="11"/>
      <c r="R41" s="230"/>
      <c r="S41" s="228"/>
      <c r="T41" s="9"/>
      <c r="U41" s="9"/>
      <c r="V41" s="227"/>
      <c r="W41" s="228"/>
      <c r="X41" s="227"/>
      <c r="Y41" s="229"/>
      <c r="Z41" s="230"/>
      <c r="AA41" s="228"/>
      <c r="AB41" s="9"/>
      <c r="AC41" s="9"/>
      <c r="AD41" s="9"/>
      <c r="AE41" s="11"/>
      <c r="AF41" s="10"/>
      <c r="AG41" s="227"/>
      <c r="AH41" s="228"/>
      <c r="AI41" s="9"/>
      <c r="AJ41" s="9"/>
      <c r="AK41" s="227"/>
      <c r="AL41" s="229"/>
      <c r="AM41" s="212">
        <f t="shared" si="2"/>
        <v>0</v>
      </c>
      <c r="AN41" s="213"/>
      <c r="AO41" s="212">
        <f t="shared" si="3"/>
        <v>22</v>
      </c>
      <c r="AP41" s="213"/>
      <c r="AQ41" s="214" t="s">
        <v>5</v>
      </c>
      <c r="AR41" s="215"/>
      <c r="AS41" s="215"/>
      <c r="AT41" s="215"/>
      <c r="AU41" s="216"/>
      <c r="AW41" s="8"/>
      <c r="AY41" s="7"/>
    </row>
    <row r="42" spans="1:51" ht="19.899999999999999" customHeight="1">
      <c r="A42" s="220">
        <v>13</v>
      </c>
      <c r="B42" s="221"/>
      <c r="C42" s="231" t="s">
        <v>121</v>
      </c>
      <c r="D42" s="232"/>
      <c r="E42" s="233"/>
      <c r="F42" s="230" t="s">
        <v>5</v>
      </c>
      <c r="G42" s="228"/>
      <c r="H42" s="9" t="s">
        <v>5</v>
      </c>
      <c r="I42" s="49" t="s">
        <v>126</v>
      </c>
      <c r="J42" s="9" t="s">
        <v>5</v>
      </c>
      <c r="K42" s="11" t="s">
        <v>5</v>
      </c>
      <c r="L42" s="230"/>
      <c r="M42" s="228"/>
      <c r="N42" s="9"/>
      <c r="O42" s="9"/>
      <c r="P42" s="9"/>
      <c r="Q42" s="11"/>
      <c r="R42" s="230"/>
      <c r="S42" s="228"/>
      <c r="T42" s="9"/>
      <c r="U42" s="9"/>
      <c r="V42" s="227"/>
      <c r="W42" s="228"/>
      <c r="X42" s="296" t="s">
        <v>126</v>
      </c>
      <c r="Y42" s="229"/>
      <c r="Z42" s="230"/>
      <c r="AA42" s="228"/>
      <c r="AB42" s="9"/>
      <c r="AC42" s="9"/>
      <c r="AD42" s="9"/>
      <c r="AE42" s="11"/>
      <c r="AF42" s="10"/>
      <c r="AG42" s="227"/>
      <c r="AH42" s="228"/>
      <c r="AI42" s="9"/>
      <c r="AJ42" s="9"/>
      <c r="AK42" s="227"/>
      <c r="AL42" s="229"/>
      <c r="AM42" s="212">
        <v>2</v>
      </c>
      <c r="AN42" s="213"/>
      <c r="AO42" s="212">
        <f t="shared" si="3"/>
        <v>20</v>
      </c>
      <c r="AP42" s="213"/>
      <c r="AQ42" s="214" t="s">
        <v>5</v>
      </c>
      <c r="AR42" s="215"/>
      <c r="AS42" s="215"/>
      <c r="AT42" s="215"/>
      <c r="AU42" s="216"/>
      <c r="AW42" s="8"/>
      <c r="AY42" s="7"/>
    </row>
    <row r="43" spans="1:51" ht="19.899999999999999" customHeight="1" thickBot="1">
      <c r="A43" s="220">
        <v>14</v>
      </c>
      <c r="B43" s="221"/>
      <c r="C43" s="231" t="s">
        <v>122</v>
      </c>
      <c r="D43" s="232"/>
      <c r="E43" s="233"/>
      <c r="F43" s="230" t="s">
        <v>5</v>
      </c>
      <c r="G43" s="228"/>
      <c r="H43" s="9" t="s">
        <v>5</v>
      </c>
      <c r="I43" s="9" t="s">
        <v>5</v>
      </c>
      <c r="J43" s="9" t="s">
        <v>5</v>
      </c>
      <c r="K43" s="11" t="s">
        <v>5</v>
      </c>
      <c r="L43" s="230"/>
      <c r="M43" s="228"/>
      <c r="N43" s="9"/>
      <c r="O43" s="9"/>
      <c r="P43" s="9"/>
      <c r="Q43" s="11"/>
      <c r="R43" s="230"/>
      <c r="S43" s="228"/>
      <c r="T43" s="9"/>
      <c r="U43" s="9"/>
      <c r="V43" s="227"/>
      <c r="W43" s="228"/>
      <c r="X43" s="227"/>
      <c r="Y43" s="229"/>
      <c r="Z43" s="230"/>
      <c r="AA43" s="228"/>
      <c r="AB43" s="9"/>
      <c r="AC43" s="9"/>
      <c r="AD43" s="9"/>
      <c r="AE43" s="11"/>
      <c r="AF43" s="10"/>
      <c r="AG43" s="227"/>
      <c r="AH43" s="228"/>
      <c r="AI43" s="9"/>
      <c r="AJ43" s="9"/>
      <c r="AK43" s="227"/>
      <c r="AL43" s="229"/>
      <c r="AM43" s="212">
        <f t="shared" si="2"/>
        <v>0</v>
      </c>
      <c r="AN43" s="213"/>
      <c r="AO43" s="212">
        <f t="shared" si="3"/>
        <v>22</v>
      </c>
      <c r="AP43" s="213"/>
      <c r="AQ43" s="214" t="s">
        <v>5</v>
      </c>
      <c r="AR43" s="215"/>
      <c r="AS43" s="215"/>
      <c r="AT43" s="215"/>
      <c r="AU43" s="216"/>
      <c r="AW43" s="8"/>
      <c r="AY43" s="7"/>
    </row>
    <row r="44" spans="1:51" ht="19.899999999999999" customHeight="1" thickBot="1">
      <c r="A44" s="220">
        <v>15</v>
      </c>
      <c r="B44" s="221"/>
      <c r="C44" s="222"/>
      <c r="D44" s="223"/>
      <c r="E44" s="224"/>
      <c r="F44" s="230" t="s">
        <v>5</v>
      </c>
      <c r="G44" s="228"/>
      <c r="H44" s="9" t="s">
        <v>5</v>
      </c>
      <c r="I44" s="9" t="s">
        <v>5</v>
      </c>
      <c r="J44" s="9" t="s">
        <v>5</v>
      </c>
      <c r="K44" s="11" t="s">
        <v>5</v>
      </c>
      <c r="L44" s="230"/>
      <c r="M44" s="228"/>
      <c r="N44" s="9"/>
      <c r="O44" s="9"/>
      <c r="P44" s="9"/>
      <c r="Q44" s="11"/>
      <c r="R44" s="230"/>
      <c r="S44" s="228"/>
      <c r="T44" s="9"/>
      <c r="U44" s="9"/>
      <c r="V44" s="227"/>
      <c r="W44" s="228"/>
      <c r="X44" s="227"/>
      <c r="Y44" s="229"/>
      <c r="Z44" s="230"/>
      <c r="AA44" s="228"/>
      <c r="AB44" s="9"/>
      <c r="AC44" s="9"/>
      <c r="AD44" s="9"/>
      <c r="AE44" s="11"/>
      <c r="AF44" s="10"/>
      <c r="AG44" s="227"/>
      <c r="AH44" s="228"/>
      <c r="AI44" s="9"/>
      <c r="AJ44" s="9"/>
      <c r="AK44" s="227"/>
      <c r="AL44" s="229"/>
      <c r="AM44" s="212"/>
      <c r="AN44" s="213"/>
      <c r="AO44" s="212">
        <f t="shared" si="3"/>
        <v>22</v>
      </c>
      <c r="AP44" s="213"/>
      <c r="AQ44" s="214" t="s">
        <v>5</v>
      </c>
      <c r="AR44" s="215"/>
      <c r="AS44" s="215"/>
      <c r="AT44" s="215"/>
      <c r="AU44" s="216"/>
      <c r="AW44" s="8"/>
      <c r="AY44" s="7"/>
    </row>
    <row r="45" spans="1:51" ht="0.75" customHeight="1" thickBot="1">
      <c r="A45" s="220">
        <v>16</v>
      </c>
      <c r="B45" s="221"/>
      <c r="C45" s="222"/>
      <c r="D45" s="223"/>
      <c r="E45" s="224"/>
      <c r="F45" s="230" t="s">
        <v>5</v>
      </c>
      <c r="G45" s="228"/>
      <c r="H45" s="9" t="s">
        <v>5</v>
      </c>
      <c r="I45" s="9" t="s">
        <v>5</v>
      </c>
      <c r="J45" s="9" t="s">
        <v>5</v>
      </c>
      <c r="K45" s="11" t="s">
        <v>5</v>
      </c>
      <c r="L45" s="230"/>
      <c r="M45" s="228"/>
      <c r="N45" s="9"/>
      <c r="O45" s="9"/>
      <c r="P45" s="9"/>
      <c r="Q45" s="11"/>
      <c r="R45" s="230"/>
      <c r="S45" s="228"/>
      <c r="T45" s="9"/>
      <c r="U45" s="9"/>
      <c r="V45" s="227"/>
      <c r="W45" s="228"/>
      <c r="X45" s="227"/>
      <c r="Y45" s="229"/>
      <c r="Z45" s="230"/>
      <c r="AA45" s="228"/>
      <c r="AB45" s="9"/>
      <c r="AC45" s="9"/>
      <c r="AD45" s="9"/>
      <c r="AE45" s="11"/>
      <c r="AF45" s="10"/>
      <c r="AG45" s="227"/>
      <c r="AH45" s="228"/>
      <c r="AI45" s="9"/>
      <c r="AJ45" s="9"/>
      <c r="AK45" s="227"/>
      <c r="AL45" s="229"/>
      <c r="AM45" s="212">
        <f t="shared" si="2"/>
        <v>0</v>
      </c>
      <c r="AN45" s="213"/>
      <c r="AO45" s="212">
        <f t="shared" si="3"/>
        <v>22</v>
      </c>
      <c r="AP45" s="213"/>
      <c r="AQ45" s="214" t="s">
        <v>5</v>
      </c>
      <c r="AR45" s="215"/>
      <c r="AS45" s="215"/>
      <c r="AT45" s="215"/>
      <c r="AU45" s="216"/>
      <c r="AW45" s="8"/>
      <c r="AY45" s="7"/>
    </row>
    <row r="46" spans="1:51" ht="19.5" hidden="1" customHeight="1" thickBot="1">
      <c r="A46" s="220">
        <v>17</v>
      </c>
      <c r="B46" s="221"/>
      <c r="C46" s="222"/>
      <c r="D46" s="223"/>
      <c r="E46" s="224"/>
      <c r="F46" s="230" t="s">
        <v>5</v>
      </c>
      <c r="G46" s="228"/>
      <c r="H46" s="9" t="s">
        <v>5</v>
      </c>
      <c r="I46" s="9" t="s">
        <v>5</v>
      </c>
      <c r="J46" s="9" t="s">
        <v>5</v>
      </c>
      <c r="K46" s="11" t="s">
        <v>5</v>
      </c>
      <c r="L46" s="230"/>
      <c r="M46" s="228"/>
      <c r="N46" s="9"/>
      <c r="O46" s="9"/>
      <c r="P46" s="9"/>
      <c r="Q46" s="11"/>
      <c r="R46" s="230"/>
      <c r="S46" s="228"/>
      <c r="T46" s="9"/>
      <c r="U46" s="9"/>
      <c r="V46" s="227"/>
      <c r="W46" s="228"/>
      <c r="X46" s="227"/>
      <c r="Y46" s="229"/>
      <c r="Z46" s="230"/>
      <c r="AA46" s="228"/>
      <c r="AB46" s="9"/>
      <c r="AC46" s="9"/>
      <c r="AD46" s="9"/>
      <c r="AE46" s="11"/>
      <c r="AF46" s="10"/>
      <c r="AG46" s="227"/>
      <c r="AH46" s="228"/>
      <c r="AI46" s="9"/>
      <c r="AJ46" s="9"/>
      <c r="AK46" s="227"/>
      <c r="AL46" s="229"/>
      <c r="AM46" s="212">
        <f t="shared" si="2"/>
        <v>0</v>
      </c>
      <c r="AN46" s="213"/>
      <c r="AO46" s="212">
        <f t="shared" si="3"/>
        <v>22</v>
      </c>
      <c r="AP46" s="213"/>
      <c r="AQ46" s="214" t="s">
        <v>5</v>
      </c>
      <c r="AR46" s="215"/>
      <c r="AS46" s="215"/>
      <c r="AT46" s="215"/>
      <c r="AU46" s="216"/>
      <c r="AW46" s="8"/>
      <c r="AY46" s="7"/>
    </row>
    <row r="47" spans="1:51" ht="19.5" hidden="1" customHeight="1" thickBot="1">
      <c r="A47" s="220">
        <v>18</v>
      </c>
      <c r="B47" s="221"/>
      <c r="C47" s="222"/>
      <c r="D47" s="223"/>
      <c r="E47" s="224"/>
      <c r="F47" s="230" t="s">
        <v>5</v>
      </c>
      <c r="G47" s="228"/>
      <c r="H47" s="9" t="s">
        <v>5</v>
      </c>
      <c r="I47" s="9" t="s">
        <v>5</v>
      </c>
      <c r="J47" s="9" t="s">
        <v>5</v>
      </c>
      <c r="K47" s="11" t="s">
        <v>5</v>
      </c>
      <c r="L47" s="230"/>
      <c r="M47" s="228"/>
      <c r="N47" s="9"/>
      <c r="O47" s="9"/>
      <c r="P47" s="9"/>
      <c r="Q47" s="11"/>
      <c r="R47" s="230"/>
      <c r="S47" s="228"/>
      <c r="T47" s="9"/>
      <c r="U47" s="9"/>
      <c r="V47" s="227"/>
      <c r="W47" s="228"/>
      <c r="X47" s="227"/>
      <c r="Y47" s="229"/>
      <c r="Z47" s="230"/>
      <c r="AA47" s="228"/>
      <c r="AB47" s="9"/>
      <c r="AC47" s="9"/>
      <c r="AD47" s="9"/>
      <c r="AE47" s="11"/>
      <c r="AF47" s="10"/>
      <c r="AG47" s="227"/>
      <c r="AH47" s="228"/>
      <c r="AI47" s="9"/>
      <c r="AJ47" s="9"/>
      <c r="AK47" s="227"/>
      <c r="AL47" s="229"/>
      <c r="AM47" s="212">
        <f t="shared" si="2"/>
        <v>0</v>
      </c>
      <c r="AN47" s="213"/>
      <c r="AO47" s="212">
        <f t="shared" si="3"/>
        <v>22</v>
      </c>
      <c r="AP47" s="213"/>
      <c r="AQ47" s="214" t="s">
        <v>5</v>
      </c>
      <c r="AR47" s="215"/>
      <c r="AS47" s="215"/>
      <c r="AT47" s="215"/>
      <c r="AU47" s="216"/>
      <c r="AW47" s="8"/>
      <c r="AY47" s="7"/>
    </row>
    <row r="48" spans="1:51" ht="19.5" hidden="1" customHeight="1" thickBot="1">
      <c r="A48" s="220">
        <v>19</v>
      </c>
      <c r="B48" s="221"/>
      <c r="C48" s="222"/>
      <c r="D48" s="223"/>
      <c r="E48" s="224"/>
      <c r="F48" s="225" t="s">
        <v>5</v>
      </c>
      <c r="G48" s="198"/>
      <c r="H48" s="16" t="s">
        <v>5</v>
      </c>
      <c r="I48" s="16" t="s">
        <v>5</v>
      </c>
      <c r="J48" s="16" t="s">
        <v>5</v>
      </c>
      <c r="K48" s="17" t="s">
        <v>5</v>
      </c>
      <c r="L48" s="226"/>
      <c r="M48" s="210"/>
      <c r="N48" s="16"/>
      <c r="O48" s="16"/>
      <c r="P48" s="16"/>
      <c r="Q48" s="17"/>
      <c r="R48" s="226"/>
      <c r="S48" s="210"/>
      <c r="T48" s="16"/>
      <c r="U48" s="16"/>
      <c r="V48" s="209"/>
      <c r="W48" s="210"/>
      <c r="X48" s="209"/>
      <c r="Y48" s="211"/>
      <c r="Z48" s="226"/>
      <c r="AA48" s="210"/>
      <c r="AB48" s="16"/>
      <c r="AC48" s="16"/>
      <c r="AD48" s="16"/>
      <c r="AE48" s="17"/>
      <c r="AF48" s="15"/>
      <c r="AG48" s="209"/>
      <c r="AH48" s="210"/>
      <c r="AI48" s="16"/>
      <c r="AJ48" s="16"/>
      <c r="AK48" s="209"/>
      <c r="AL48" s="211"/>
      <c r="AM48" s="212">
        <f t="shared" si="2"/>
        <v>0</v>
      </c>
      <c r="AN48" s="213"/>
      <c r="AO48" s="212">
        <f t="shared" si="3"/>
        <v>22</v>
      </c>
      <c r="AP48" s="213"/>
      <c r="AQ48" s="214" t="s">
        <v>5</v>
      </c>
      <c r="AR48" s="215"/>
      <c r="AS48" s="215"/>
      <c r="AT48" s="215"/>
      <c r="AU48" s="216"/>
      <c r="AW48" s="217" t="s">
        <v>75</v>
      </c>
      <c r="AX48" s="218"/>
      <c r="AY48" s="219"/>
    </row>
    <row r="49" spans="1:51" ht="19.899999999999999" customHeight="1" thickTop="1" thickBot="1">
      <c r="A49" s="187">
        <v>14</v>
      </c>
      <c r="B49" s="188"/>
      <c r="C49" s="205" t="s">
        <v>22</v>
      </c>
      <c r="D49" s="206"/>
      <c r="E49" s="206"/>
      <c r="F49" s="207">
        <v>14</v>
      </c>
      <c r="G49" s="208"/>
      <c r="H49" s="28">
        <v>14</v>
      </c>
      <c r="I49" s="28">
        <v>13</v>
      </c>
      <c r="J49" s="28">
        <v>14</v>
      </c>
      <c r="K49" s="28">
        <v>14</v>
      </c>
      <c r="L49" s="200">
        <v>13</v>
      </c>
      <c r="M49" s="208"/>
      <c r="N49" s="28">
        <v>13</v>
      </c>
      <c r="O49" s="28">
        <v>14</v>
      </c>
      <c r="P49" s="28">
        <v>14</v>
      </c>
      <c r="Q49" s="28">
        <v>13</v>
      </c>
      <c r="R49" s="200">
        <v>13</v>
      </c>
      <c r="S49" s="208"/>
      <c r="T49" s="28">
        <v>14</v>
      </c>
      <c r="U49" s="28">
        <v>13</v>
      </c>
      <c r="V49" s="200">
        <v>14</v>
      </c>
      <c r="W49" s="208"/>
      <c r="X49" s="200">
        <v>13</v>
      </c>
      <c r="Y49" s="169"/>
      <c r="Z49" s="201">
        <v>14</v>
      </c>
      <c r="AA49" s="193"/>
      <c r="AB49" s="18">
        <v>13</v>
      </c>
      <c r="AC49" s="18">
        <v>13</v>
      </c>
      <c r="AD49" s="18">
        <v>14</v>
      </c>
      <c r="AE49" s="21">
        <v>14</v>
      </c>
      <c r="AF49" s="22">
        <v>13</v>
      </c>
      <c r="AG49" s="202">
        <v>13</v>
      </c>
      <c r="AH49" s="202"/>
      <c r="AI49" s="23"/>
      <c r="AJ49" s="23"/>
      <c r="AK49" s="203"/>
      <c r="AL49" s="204"/>
      <c r="AM49" s="170">
        <f>SUM(AM30:AN48)</f>
        <v>10</v>
      </c>
      <c r="AN49" s="171"/>
      <c r="AO49" s="172">
        <v>298</v>
      </c>
      <c r="AP49" s="171"/>
      <c r="AQ49" s="173" t="s">
        <v>5</v>
      </c>
      <c r="AR49" s="174"/>
      <c r="AS49" s="174"/>
      <c r="AT49" s="174"/>
      <c r="AU49" s="175"/>
      <c r="AW49" s="12">
        <f>AW29</f>
        <v>22</v>
      </c>
      <c r="AX49" s="40">
        <v>14</v>
      </c>
      <c r="AY49" s="7">
        <f>AW49*AX49</f>
        <v>308</v>
      </c>
    </row>
    <row r="50" spans="1:51" ht="19.899999999999999" customHeight="1" thickBot="1">
      <c r="A50" s="187">
        <v>27</v>
      </c>
      <c r="B50" s="188"/>
      <c r="C50" s="189" t="s">
        <v>23</v>
      </c>
      <c r="D50" s="190"/>
      <c r="E50" s="191"/>
      <c r="F50" s="192">
        <f>F49+F29</f>
        <v>27</v>
      </c>
      <c r="G50" s="193"/>
      <c r="H50" s="27">
        <f>H49+H29</f>
        <v>27</v>
      </c>
      <c r="I50" s="27">
        <f>I49+I29</f>
        <v>25</v>
      </c>
      <c r="J50" s="27">
        <f>J49+J29</f>
        <v>27</v>
      </c>
      <c r="K50" s="27">
        <f>K29+K49</f>
        <v>27</v>
      </c>
      <c r="L50" s="194">
        <f>L29+L49</f>
        <v>24</v>
      </c>
      <c r="M50" s="195"/>
      <c r="N50" s="27">
        <f>N29+N49</f>
        <v>25</v>
      </c>
      <c r="O50" s="27">
        <f>O29+O49</f>
        <v>27</v>
      </c>
      <c r="P50" s="27">
        <f>P29+P49</f>
        <v>27</v>
      </c>
      <c r="Q50" s="27">
        <f>Q29+Q49</f>
        <v>25</v>
      </c>
      <c r="R50" s="194">
        <f>R29+R49</f>
        <v>25</v>
      </c>
      <c r="S50" s="195"/>
      <c r="T50" s="27">
        <f>T29+T49</f>
        <v>27</v>
      </c>
      <c r="U50" s="27">
        <f>U29+U49</f>
        <v>25</v>
      </c>
      <c r="V50" s="194">
        <f>V29+V49</f>
        <v>27</v>
      </c>
      <c r="W50" s="195"/>
      <c r="X50" s="194">
        <f>X29+X49</f>
        <v>26</v>
      </c>
      <c r="Y50" s="196"/>
      <c r="Z50" s="197">
        <f>Z29+Z49</f>
        <v>27</v>
      </c>
      <c r="AA50" s="198"/>
      <c r="AB50" s="19">
        <f t="shared" ref="AB50:AG50" si="4">AB29+AB49</f>
        <v>25</v>
      </c>
      <c r="AC50" s="19">
        <f t="shared" si="4"/>
        <v>25</v>
      </c>
      <c r="AD50" s="20">
        <f t="shared" si="4"/>
        <v>26</v>
      </c>
      <c r="AE50" s="24">
        <f t="shared" si="4"/>
        <v>27</v>
      </c>
      <c r="AF50" s="25">
        <f t="shared" si="4"/>
        <v>25</v>
      </c>
      <c r="AG50" s="199">
        <f t="shared" si="4"/>
        <v>25</v>
      </c>
      <c r="AH50" s="199"/>
      <c r="AI50" s="26">
        <f>AI49+AI29</f>
        <v>0</v>
      </c>
      <c r="AJ50" s="26">
        <f>AJ49+AJ29</f>
        <v>0</v>
      </c>
      <c r="AK50" s="168"/>
      <c r="AL50" s="169"/>
      <c r="AM50" s="170">
        <f>AM29+AM49</f>
        <v>22</v>
      </c>
      <c r="AN50" s="171"/>
      <c r="AO50" s="172">
        <f>AO29+AO49</f>
        <v>572</v>
      </c>
      <c r="AP50" s="171"/>
      <c r="AQ50" s="173" t="s">
        <v>5</v>
      </c>
      <c r="AR50" s="174"/>
      <c r="AS50" s="174"/>
      <c r="AT50" s="174"/>
      <c r="AU50" s="175"/>
      <c r="AW50" s="6"/>
      <c r="AX50" s="5"/>
      <c r="AY50" s="4"/>
    </row>
    <row r="51" spans="1:51" ht="10.15" customHeight="1">
      <c r="A51" s="176" t="s">
        <v>24</v>
      </c>
      <c r="B51" s="72"/>
      <c r="C51" s="72"/>
      <c r="D51" s="72"/>
      <c r="E51" s="72"/>
      <c r="F51" s="72"/>
      <c r="G51" s="72"/>
      <c r="H51" s="72"/>
      <c r="I51" s="72"/>
      <c r="J51" s="72"/>
      <c r="K51" s="72"/>
      <c r="L51" s="72"/>
      <c r="M51" s="72"/>
      <c r="N51" s="72"/>
      <c r="O51" s="72"/>
      <c r="P51" s="72"/>
      <c r="Q51" s="72"/>
      <c r="R51" s="72"/>
      <c r="S51" s="72"/>
      <c r="T51" s="72"/>
      <c r="U51" s="72"/>
      <c r="V51" s="72"/>
      <c r="W51" s="72"/>
      <c r="X51" s="72"/>
      <c r="Y51" s="1"/>
      <c r="Z51" s="82" t="s">
        <v>25</v>
      </c>
      <c r="AA51" s="83"/>
      <c r="AB51" s="83"/>
      <c r="AC51" s="83"/>
      <c r="AD51" s="83"/>
      <c r="AE51" s="83"/>
      <c r="AF51" s="83"/>
      <c r="AG51" s="83"/>
      <c r="AH51" s="83"/>
      <c r="AI51" s="83"/>
      <c r="AJ51" s="83"/>
      <c r="AK51" s="84"/>
      <c r="AL51" s="1"/>
      <c r="AM51" s="177" t="s">
        <v>26</v>
      </c>
      <c r="AN51" s="178"/>
      <c r="AO51" s="179"/>
      <c r="AP51" s="177" t="s">
        <v>27</v>
      </c>
      <c r="AQ51" s="179"/>
      <c r="AR51" s="183" t="s">
        <v>28</v>
      </c>
      <c r="AS51" s="184"/>
      <c r="AT51" s="184"/>
      <c r="AU51" s="185"/>
    </row>
    <row r="52" spans="1:51" ht="10.15" customHeight="1" thickBot="1">
      <c r="A52" s="186" t="s">
        <v>29</v>
      </c>
      <c r="B52" s="72"/>
      <c r="C52" s="72"/>
      <c r="D52" s="72"/>
      <c r="E52" s="72"/>
      <c r="F52" s="72"/>
      <c r="G52" s="72"/>
      <c r="H52" s="72"/>
      <c r="I52" s="72"/>
      <c r="J52" s="72"/>
      <c r="K52" s="72"/>
      <c r="L52" s="72"/>
      <c r="M52" s="72"/>
      <c r="N52" s="72"/>
      <c r="O52" s="72"/>
      <c r="P52" s="72"/>
      <c r="Q52" s="72"/>
      <c r="R52" s="72"/>
      <c r="S52" s="72"/>
      <c r="T52" s="72"/>
      <c r="U52" s="72"/>
      <c r="V52" s="72"/>
      <c r="W52" s="72"/>
      <c r="X52" s="72"/>
      <c r="Y52" s="1"/>
      <c r="Z52" s="150" t="s">
        <v>30</v>
      </c>
      <c r="AA52" s="151"/>
      <c r="AB52" s="151"/>
      <c r="AC52" s="151"/>
      <c r="AD52" s="151"/>
      <c r="AE52" s="151"/>
      <c r="AF52" s="151"/>
      <c r="AG52" s="151"/>
      <c r="AH52" s="151"/>
      <c r="AI52" s="151"/>
      <c r="AJ52" s="151"/>
      <c r="AK52" s="152"/>
      <c r="AL52" s="1"/>
      <c r="AM52" s="180"/>
      <c r="AN52" s="181"/>
      <c r="AO52" s="182"/>
      <c r="AP52" s="180"/>
      <c r="AQ52" s="182"/>
      <c r="AR52" s="3" t="s">
        <v>14</v>
      </c>
      <c r="AS52" s="3" t="s">
        <v>18</v>
      </c>
      <c r="AT52" s="153" t="s">
        <v>31</v>
      </c>
      <c r="AU52" s="154"/>
    </row>
    <row r="53" spans="1:51" ht="10.15" customHeight="1">
      <c r="A53" s="72"/>
      <c r="B53" s="72"/>
      <c r="C53" s="72"/>
      <c r="D53" s="72"/>
      <c r="E53" s="72"/>
      <c r="F53" s="72"/>
      <c r="G53" s="72"/>
      <c r="H53" s="72"/>
      <c r="I53" s="72"/>
      <c r="J53" s="72"/>
      <c r="K53" s="72"/>
      <c r="L53" s="72"/>
      <c r="M53" s="72"/>
      <c r="N53" s="72"/>
      <c r="O53" s="72"/>
      <c r="P53" s="72"/>
      <c r="Q53" s="72"/>
      <c r="R53" s="72"/>
      <c r="S53" s="72"/>
      <c r="T53" s="72"/>
      <c r="U53" s="72"/>
      <c r="V53" s="72"/>
      <c r="W53" s="72"/>
      <c r="X53" s="72"/>
      <c r="Y53" s="1"/>
      <c r="Z53" s="150"/>
      <c r="AA53" s="151"/>
      <c r="AB53" s="151"/>
      <c r="AC53" s="151"/>
      <c r="AD53" s="151"/>
      <c r="AE53" s="151"/>
      <c r="AF53" s="151"/>
      <c r="AG53" s="151"/>
      <c r="AH53" s="151"/>
      <c r="AI53" s="151"/>
      <c r="AJ53" s="151"/>
      <c r="AK53" s="152"/>
      <c r="AL53" s="1"/>
      <c r="AM53" s="155" t="s">
        <v>32</v>
      </c>
      <c r="AN53" s="156"/>
      <c r="AO53" s="156"/>
      <c r="AP53" s="156"/>
      <c r="AQ53" s="157"/>
      <c r="AR53" s="161">
        <v>12</v>
      </c>
      <c r="AS53" s="140">
        <v>14</v>
      </c>
      <c r="AT53" s="60">
        <f>AR53+AS53</f>
        <v>26</v>
      </c>
      <c r="AU53" s="61"/>
    </row>
    <row r="54" spans="1:51" ht="4.9000000000000004" customHeight="1">
      <c r="A54" s="72"/>
      <c r="B54" s="72"/>
      <c r="C54" s="72"/>
      <c r="D54" s="72"/>
      <c r="E54" s="72"/>
      <c r="F54" s="72"/>
      <c r="G54" s="72"/>
      <c r="H54" s="72"/>
      <c r="I54" s="72"/>
      <c r="J54" s="72"/>
      <c r="K54" s="72"/>
      <c r="L54" s="72"/>
      <c r="M54" s="72"/>
      <c r="N54" s="72"/>
      <c r="O54" s="72"/>
      <c r="P54" s="72"/>
      <c r="Q54" s="72"/>
      <c r="R54" s="72"/>
      <c r="S54" s="72"/>
      <c r="T54" s="72"/>
      <c r="U54" s="72"/>
      <c r="V54" s="72"/>
      <c r="W54" s="72"/>
      <c r="X54" s="72"/>
      <c r="Y54" s="1"/>
      <c r="Z54" s="82" t="s">
        <v>33</v>
      </c>
      <c r="AA54" s="83"/>
      <c r="AB54" s="83"/>
      <c r="AC54" s="83"/>
      <c r="AD54" s="83"/>
      <c r="AE54" s="83"/>
      <c r="AF54" s="83"/>
      <c r="AG54" s="83"/>
      <c r="AH54" s="83"/>
      <c r="AI54" s="83"/>
      <c r="AJ54" s="83"/>
      <c r="AK54" s="84"/>
      <c r="AL54" s="1"/>
      <c r="AM54" s="158"/>
      <c r="AN54" s="159"/>
      <c r="AO54" s="159"/>
      <c r="AP54" s="159"/>
      <c r="AQ54" s="160"/>
      <c r="AR54" s="162"/>
      <c r="AS54" s="142"/>
      <c r="AT54" s="103"/>
      <c r="AU54" s="104"/>
    </row>
    <row r="55" spans="1:51" ht="4.9000000000000004" customHeight="1">
      <c r="A55" s="72"/>
      <c r="B55" s="72"/>
      <c r="C55" s="72"/>
      <c r="D55" s="72"/>
      <c r="E55" s="72"/>
      <c r="F55" s="72"/>
      <c r="G55" s="72"/>
      <c r="H55" s="72"/>
      <c r="I55" s="72"/>
      <c r="J55" s="72"/>
      <c r="K55" s="72"/>
      <c r="L55" s="72"/>
      <c r="M55" s="72"/>
      <c r="N55" s="72"/>
      <c r="O55" s="72"/>
      <c r="P55" s="72"/>
      <c r="Q55" s="72"/>
      <c r="R55" s="72"/>
      <c r="S55" s="72"/>
      <c r="T55" s="72"/>
      <c r="U55" s="72"/>
      <c r="V55" s="72"/>
      <c r="W55" s="72"/>
      <c r="X55" s="72"/>
      <c r="Y55" s="1"/>
      <c r="Z55" s="82"/>
      <c r="AA55" s="83"/>
      <c r="AB55" s="83"/>
      <c r="AC55" s="83"/>
      <c r="AD55" s="83"/>
      <c r="AE55" s="83"/>
      <c r="AF55" s="83"/>
      <c r="AG55" s="83"/>
      <c r="AH55" s="83"/>
      <c r="AI55" s="83"/>
      <c r="AJ55" s="83"/>
      <c r="AK55" s="84"/>
      <c r="AL55" s="1"/>
      <c r="AM55" s="163" t="s">
        <v>34</v>
      </c>
      <c r="AN55" s="164"/>
      <c r="AO55" s="165"/>
      <c r="AP55" s="166" t="s">
        <v>35</v>
      </c>
      <c r="AQ55" s="167"/>
      <c r="AR55" s="140">
        <v>0</v>
      </c>
      <c r="AS55" s="140">
        <v>0</v>
      </c>
      <c r="AT55" s="143">
        <v>0</v>
      </c>
      <c r="AU55" s="144"/>
    </row>
    <row r="56" spans="1:51" ht="7.9" customHeight="1">
      <c r="A56" s="1"/>
      <c r="B56" s="133" t="s">
        <v>36</v>
      </c>
      <c r="C56" s="72"/>
      <c r="D56" s="72"/>
      <c r="E56" s="72"/>
      <c r="F56" s="72"/>
      <c r="G56" s="149" t="s">
        <v>37</v>
      </c>
      <c r="H56" s="149"/>
      <c r="I56" s="149"/>
      <c r="J56" s="149"/>
      <c r="K56" s="149"/>
      <c r="L56" s="149"/>
      <c r="M56" s="149"/>
      <c r="N56" s="149"/>
      <c r="O56" s="149"/>
      <c r="P56" s="149"/>
      <c r="Q56" s="149"/>
      <c r="R56" s="149"/>
      <c r="S56" s="149"/>
      <c r="T56" s="119" t="s">
        <v>38</v>
      </c>
      <c r="U56" s="72"/>
      <c r="V56" s="72"/>
      <c r="W56" s="1"/>
      <c r="X56" s="1"/>
      <c r="Y56" s="1"/>
      <c r="Z56" s="82" t="s">
        <v>39</v>
      </c>
      <c r="AA56" s="83"/>
      <c r="AB56" s="83"/>
      <c r="AC56" s="83"/>
      <c r="AD56" s="83"/>
      <c r="AE56" s="83"/>
      <c r="AF56" s="83"/>
      <c r="AG56" s="83"/>
      <c r="AH56" s="83"/>
      <c r="AI56" s="83"/>
      <c r="AJ56" s="83"/>
      <c r="AK56" s="84"/>
      <c r="AL56" s="1"/>
      <c r="AM56" s="163"/>
      <c r="AN56" s="164"/>
      <c r="AO56" s="165"/>
      <c r="AP56" s="166"/>
      <c r="AQ56" s="167"/>
      <c r="AR56" s="141"/>
      <c r="AS56" s="141"/>
      <c r="AT56" s="145"/>
      <c r="AU56" s="146"/>
    </row>
    <row r="57" spans="1:51" ht="1.9" customHeight="1">
      <c r="A57" s="1"/>
      <c r="B57" s="72"/>
      <c r="C57" s="72"/>
      <c r="D57" s="72"/>
      <c r="E57" s="72"/>
      <c r="F57" s="72"/>
      <c r="G57" s="134"/>
      <c r="H57" s="134"/>
      <c r="I57" s="134"/>
      <c r="J57" s="134"/>
      <c r="K57" s="134"/>
      <c r="L57" s="134"/>
      <c r="M57" s="134"/>
      <c r="N57" s="134"/>
      <c r="O57" s="134"/>
      <c r="P57" s="134"/>
      <c r="Q57" s="134"/>
      <c r="R57" s="134"/>
      <c r="S57" s="134"/>
      <c r="T57" s="72"/>
      <c r="U57" s="72"/>
      <c r="V57" s="72"/>
      <c r="W57" s="1"/>
      <c r="X57" s="1"/>
      <c r="Y57" s="1"/>
      <c r="Z57" s="82"/>
      <c r="AA57" s="83"/>
      <c r="AB57" s="83"/>
      <c r="AC57" s="83"/>
      <c r="AD57" s="83"/>
      <c r="AE57" s="83"/>
      <c r="AF57" s="83"/>
      <c r="AG57" s="83"/>
      <c r="AH57" s="83"/>
      <c r="AI57" s="83"/>
      <c r="AJ57" s="83"/>
      <c r="AK57" s="84"/>
      <c r="AL57" s="1"/>
      <c r="AM57" s="123" t="s">
        <v>40</v>
      </c>
      <c r="AN57" s="124"/>
      <c r="AO57" s="124"/>
      <c r="AP57" s="124"/>
      <c r="AQ57" s="125"/>
      <c r="AR57" s="141"/>
      <c r="AS57" s="141"/>
      <c r="AT57" s="145"/>
      <c r="AU57" s="146"/>
    </row>
    <row r="58" spans="1:51" ht="10.15" customHeight="1">
      <c r="A58" s="1"/>
      <c r="B58" s="72"/>
      <c r="C58" s="72"/>
      <c r="D58" s="72"/>
      <c r="E58" s="72"/>
      <c r="F58" s="72"/>
      <c r="G58" s="119" t="s">
        <v>41</v>
      </c>
      <c r="H58" s="72"/>
      <c r="I58" s="72"/>
      <c r="J58" s="72"/>
      <c r="K58" s="72"/>
      <c r="L58" s="72"/>
      <c r="M58" s="72"/>
      <c r="N58" s="72"/>
      <c r="O58" s="72"/>
      <c r="P58" s="72"/>
      <c r="Q58" s="72"/>
      <c r="R58" s="72"/>
      <c r="S58" s="72"/>
      <c r="T58" s="72"/>
      <c r="U58" s="72"/>
      <c r="V58" s="72"/>
      <c r="W58" s="1"/>
      <c r="X58" s="1"/>
      <c r="Y58" s="1"/>
      <c r="Z58" s="77" t="s">
        <v>42</v>
      </c>
      <c r="AA58" s="78"/>
      <c r="AB58" s="78"/>
      <c r="AC58" s="78"/>
      <c r="AD58" s="78"/>
      <c r="AE58" s="78"/>
      <c r="AF58" s="78"/>
      <c r="AG58" s="78"/>
      <c r="AH58" s="78"/>
      <c r="AI58" s="78"/>
      <c r="AJ58" s="78"/>
      <c r="AK58" s="79"/>
      <c r="AL58" s="1"/>
      <c r="AM58" s="105"/>
      <c r="AN58" s="106"/>
      <c r="AO58" s="106"/>
      <c r="AP58" s="106"/>
      <c r="AQ58" s="107"/>
      <c r="AR58" s="142"/>
      <c r="AS58" s="142"/>
      <c r="AT58" s="147"/>
      <c r="AU58" s="148"/>
    </row>
    <row r="59" spans="1:51" ht="10.15" customHeight="1">
      <c r="A59" s="1"/>
      <c r="B59" s="133" t="s">
        <v>43</v>
      </c>
      <c r="C59" s="72"/>
      <c r="D59" s="72"/>
      <c r="E59" s="72"/>
      <c r="F59" s="72"/>
      <c r="G59" s="134" t="s">
        <v>44</v>
      </c>
      <c r="H59" s="134"/>
      <c r="I59" s="134"/>
      <c r="J59" s="134"/>
      <c r="K59" s="134"/>
      <c r="L59" s="134"/>
      <c r="M59" s="134"/>
      <c r="N59" s="134"/>
      <c r="O59" s="134"/>
      <c r="P59" s="134"/>
      <c r="Q59" s="134"/>
      <c r="R59" s="134"/>
      <c r="S59" s="134"/>
      <c r="T59" s="1"/>
      <c r="U59" s="1"/>
      <c r="V59" s="1"/>
      <c r="W59" s="1"/>
      <c r="X59" s="1"/>
      <c r="Y59" s="1"/>
      <c r="Z59" s="77"/>
      <c r="AA59" s="72"/>
      <c r="AB59" s="72"/>
      <c r="AC59" s="72"/>
      <c r="AD59" s="72"/>
      <c r="AE59" s="72"/>
      <c r="AF59" s="72"/>
      <c r="AG59" s="72"/>
      <c r="AH59" s="72"/>
      <c r="AI59" s="72"/>
      <c r="AJ59" s="72"/>
      <c r="AK59" s="79"/>
      <c r="AL59" s="1"/>
      <c r="AM59" s="135" t="s">
        <v>45</v>
      </c>
      <c r="AN59" s="136"/>
      <c r="AO59" s="136"/>
      <c r="AP59" s="136"/>
      <c r="AQ59" s="137"/>
      <c r="AR59" s="66">
        <v>13</v>
      </c>
      <c r="AS59" s="66">
        <v>14</v>
      </c>
      <c r="AT59" s="60">
        <f>AR59+AS59</f>
        <v>27</v>
      </c>
      <c r="AU59" s="61"/>
    </row>
    <row r="60" spans="1:51" ht="10.15" customHeight="1">
      <c r="A60" s="1"/>
      <c r="B60" s="72"/>
      <c r="C60" s="72"/>
      <c r="D60" s="72"/>
      <c r="E60" s="72"/>
      <c r="F60" s="72"/>
      <c r="G60" s="119" t="s">
        <v>46</v>
      </c>
      <c r="H60" s="72"/>
      <c r="I60" s="72"/>
      <c r="J60" s="72"/>
      <c r="K60" s="72"/>
      <c r="L60" s="72"/>
      <c r="M60" s="72"/>
      <c r="N60" s="72"/>
      <c r="O60" s="72"/>
      <c r="P60" s="72"/>
      <c r="Q60" s="72"/>
      <c r="R60" s="72"/>
      <c r="S60" s="72"/>
      <c r="T60" s="1"/>
      <c r="U60" s="1"/>
      <c r="V60" s="1"/>
      <c r="W60" s="1"/>
      <c r="X60" s="1"/>
      <c r="Y60" s="1"/>
      <c r="Z60" s="77"/>
      <c r="AA60" s="72"/>
      <c r="AB60" s="72"/>
      <c r="AC60" s="72"/>
      <c r="AD60" s="72"/>
      <c r="AE60" s="72"/>
      <c r="AF60" s="72"/>
      <c r="AG60" s="72"/>
      <c r="AH60" s="72"/>
      <c r="AI60" s="72"/>
      <c r="AJ60" s="72"/>
      <c r="AK60" s="79"/>
      <c r="AL60" s="1"/>
      <c r="AM60" s="120" t="s">
        <v>47</v>
      </c>
      <c r="AN60" s="121"/>
      <c r="AO60" s="121"/>
      <c r="AP60" s="121"/>
      <c r="AQ60" s="122"/>
      <c r="AR60" s="102"/>
      <c r="AS60" s="102"/>
      <c r="AT60" s="103"/>
      <c r="AU60" s="104"/>
    </row>
    <row r="61" spans="1:51" ht="10.15" customHeight="1">
      <c r="A61" s="1"/>
      <c r="B61" s="133" t="s">
        <v>48</v>
      </c>
      <c r="C61" s="72"/>
      <c r="D61" s="72"/>
      <c r="E61" s="72"/>
      <c r="F61" s="72"/>
      <c r="G61" s="134" t="s">
        <v>49</v>
      </c>
      <c r="H61" s="134"/>
      <c r="I61" s="134"/>
      <c r="J61" s="134"/>
      <c r="K61" s="134"/>
      <c r="L61" s="134"/>
      <c r="M61" s="134"/>
      <c r="N61" s="134"/>
      <c r="O61" s="134"/>
      <c r="P61" s="134"/>
      <c r="Q61" s="134"/>
      <c r="R61" s="134"/>
      <c r="S61" s="134"/>
      <c r="T61" s="119" t="s">
        <v>38</v>
      </c>
      <c r="U61" s="72"/>
      <c r="V61" s="72"/>
      <c r="W61" s="1"/>
      <c r="X61" s="1"/>
      <c r="Y61" s="1"/>
      <c r="Z61" s="77"/>
      <c r="AA61" s="78"/>
      <c r="AB61" s="78"/>
      <c r="AC61" s="78"/>
      <c r="AD61" s="78"/>
      <c r="AE61" s="78"/>
      <c r="AF61" s="78"/>
      <c r="AG61" s="78"/>
      <c r="AH61" s="78"/>
      <c r="AI61" s="78"/>
      <c r="AJ61" s="78"/>
      <c r="AK61" s="79"/>
      <c r="AL61" s="1"/>
      <c r="AM61" s="135" t="s">
        <v>50</v>
      </c>
      <c r="AN61" s="136"/>
      <c r="AO61" s="136"/>
      <c r="AP61" s="136"/>
      <c r="AQ61" s="137"/>
      <c r="AR61" s="138">
        <f>AR59/AR53*100</f>
        <v>108.33333333333333</v>
      </c>
      <c r="AS61" s="138">
        <f>AS59/AS53*100</f>
        <v>100</v>
      </c>
      <c r="AT61" s="115">
        <f>AT59/AT53*100</f>
        <v>103.84615384615385</v>
      </c>
      <c r="AU61" s="116"/>
    </row>
    <row r="62" spans="1:51" ht="10.15" customHeight="1">
      <c r="A62" s="1"/>
      <c r="B62" s="72"/>
      <c r="C62" s="72"/>
      <c r="D62" s="72"/>
      <c r="E62" s="72"/>
      <c r="F62" s="72"/>
      <c r="G62" s="119" t="s">
        <v>37</v>
      </c>
      <c r="H62" s="72"/>
      <c r="I62" s="72"/>
      <c r="J62" s="72"/>
      <c r="K62" s="72"/>
      <c r="L62" s="72"/>
      <c r="M62" s="72"/>
      <c r="N62" s="72"/>
      <c r="O62" s="72"/>
      <c r="P62" s="72"/>
      <c r="Q62" s="72"/>
      <c r="R62" s="72"/>
      <c r="S62" s="72"/>
      <c r="T62" s="72"/>
      <c r="U62" s="72"/>
      <c r="V62" s="72"/>
      <c r="W62" s="1"/>
      <c r="X62" s="1"/>
      <c r="Y62" s="1"/>
      <c r="Z62" s="82" t="s">
        <v>51</v>
      </c>
      <c r="AA62" s="83"/>
      <c r="AB62" s="83"/>
      <c r="AC62" s="83"/>
      <c r="AD62" s="83"/>
      <c r="AE62" s="83"/>
      <c r="AF62" s="83"/>
      <c r="AG62" s="83"/>
      <c r="AH62" s="83"/>
      <c r="AI62" s="83"/>
      <c r="AJ62" s="83"/>
      <c r="AK62" s="84"/>
      <c r="AL62" s="1"/>
      <c r="AM62" s="120" t="s">
        <v>47</v>
      </c>
      <c r="AN62" s="121"/>
      <c r="AO62" s="121"/>
      <c r="AP62" s="121"/>
      <c r="AQ62" s="122"/>
      <c r="AR62" s="139"/>
      <c r="AS62" s="139"/>
      <c r="AT62" s="117"/>
      <c r="AU62" s="118"/>
    </row>
    <row r="63" spans="1:51" ht="10.15" customHeight="1">
      <c r="A63" s="1"/>
      <c r="B63" s="1"/>
      <c r="C63" s="1"/>
      <c r="D63" s="1"/>
      <c r="E63" s="1"/>
      <c r="F63" s="1"/>
      <c r="G63" s="1"/>
      <c r="H63" s="1"/>
      <c r="I63" s="1"/>
      <c r="J63" s="1"/>
      <c r="K63" s="1"/>
      <c r="L63" s="1"/>
      <c r="M63" s="1"/>
      <c r="N63" s="1"/>
      <c r="O63" s="1"/>
      <c r="P63" s="1"/>
      <c r="Q63" s="1"/>
      <c r="R63" s="1"/>
      <c r="S63" s="1"/>
      <c r="T63" s="1"/>
      <c r="U63" s="1"/>
      <c r="V63" s="1"/>
      <c r="W63" s="1"/>
      <c r="X63" s="1"/>
      <c r="Y63" s="1"/>
      <c r="Z63" s="77" t="s">
        <v>52</v>
      </c>
      <c r="AA63" s="78"/>
      <c r="AB63" s="78"/>
      <c r="AC63" s="78"/>
      <c r="AD63" s="78"/>
      <c r="AE63" s="78"/>
      <c r="AF63" s="78"/>
      <c r="AG63" s="78"/>
      <c r="AH63" s="78"/>
      <c r="AI63" s="78"/>
      <c r="AJ63" s="78"/>
      <c r="AK63" s="79"/>
      <c r="AL63" s="1"/>
      <c r="AM63" s="123" t="s">
        <v>53</v>
      </c>
      <c r="AN63" s="124"/>
      <c r="AO63" s="124"/>
      <c r="AP63" s="124"/>
      <c r="AQ63" s="125"/>
      <c r="AR63" s="126">
        <f>AO29/AW5</f>
        <v>12.454545454545455</v>
      </c>
      <c r="AS63" s="126">
        <f>AO49/AW5</f>
        <v>13.545454545454545</v>
      </c>
      <c r="AT63" s="128">
        <f>AO50/AW5</f>
        <v>26</v>
      </c>
      <c r="AU63" s="129"/>
    </row>
    <row r="64" spans="1:51" ht="4.9000000000000004" customHeight="1">
      <c r="A64" s="132" t="s">
        <v>54</v>
      </c>
      <c r="B64" s="72"/>
      <c r="C64" s="72"/>
      <c r="D64" s="72"/>
      <c r="E64" s="72"/>
      <c r="F64" s="72"/>
      <c r="G64" s="72"/>
      <c r="H64" s="72"/>
      <c r="I64" s="72"/>
      <c r="J64" s="72"/>
      <c r="K64" s="72"/>
      <c r="L64" s="72"/>
      <c r="M64" s="72"/>
      <c r="N64" s="72"/>
      <c r="O64" s="72"/>
      <c r="P64" s="72"/>
      <c r="Q64" s="72"/>
      <c r="R64" s="72"/>
      <c r="S64" s="72"/>
      <c r="T64" s="72"/>
      <c r="U64" s="72"/>
      <c r="V64" s="72"/>
      <c r="W64" s="72"/>
      <c r="X64" s="72"/>
      <c r="Y64" s="1"/>
      <c r="Z64" s="77"/>
      <c r="AA64" s="72"/>
      <c r="AB64" s="72"/>
      <c r="AC64" s="72"/>
      <c r="AD64" s="72"/>
      <c r="AE64" s="72"/>
      <c r="AF64" s="72"/>
      <c r="AG64" s="72"/>
      <c r="AH64" s="72"/>
      <c r="AI64" s="72"/>
      <c r="AJ64" s="72"/>
      <c r="AK64" s="79"/>
      <c r="AL64" s="1"/>
      <c r="AM64" s="105"/>
      <c r="AN64" s="106"/>
      <c r="AO64" s="106"/>
      <c r="AP64" s="106"/>
      <c r="AQ64" s="107"/>
      <c r="AR64" s="127"/>
      <c r="AS64" s="127"/>
      <c r="AT64" s="130"/>
      <c r="AU64" s="131"/>
    </row>
    <row r="65" spans="1:47" ht="15" customHeight="1">
      <c r="A65" s="72"/>
      <c r="B65" s="72"/>
      <c r="C65" s="72"/>
      <c r="D65" s="72"/>
      <c r="E65" s="72"/>
      <c r="F65" s="72"/>
      <c r="G65" s="72"/>
      <c r="H65" s="72"/>
      <c r="I65" s="72"/>
      <c r="J65" s="72"/>
      <c r="K65" s="72"/>
      <c r="L65" s="72"/>
      <c r="M65" s="72"/>
      <c r="N65" s="72"/>
      <c r="O65" s="72"/>
      <c r="P65" s="72"/>
      <c r="Q65" s="72"/>
      <c r="R65" s="72"/>
      <c r="S65" s="72"/>
      <c r="T65" s="72"/>
      <c r="U65" s="72"/>
      <c r="V65" s="72"/>
      <c r="W65" s="72"/>
      <c r="X65" s="72"/>
      <c r="Y65" s="1"/>
      <c r="Z65" s="77"/>
      <c r="AA65" s="72"/>
      <c r="AB65" s="72"/>
      <c r="AC65" s="72"/>
      <c r="AD65" s="72"/>
      <c r="AE65" s="72"/>
      <c r="AF65" s="72"/>
      <c r="AG65" s="72"/>
      <c r="AH65" s="72"/>
      <c r="AI65" s="72"/>
      <c r="AJ65" s="72"/>
      <c r="AK65" s="79"/>
      <c r="AL65" s="1"/>
      <c r="AM65" s="105" t="s">
        <v>55</v>
      </c>
      <c r="AN65" s="106"/>
      <c r="AO65" s="106"/>
      <c r="AP65" s="106"/>
      <c r="AQ65" s="107"/>
      <c r="AR65" s="38">
        <f>AR63/AR59*100</f>
        <v>95.804195804195814</v>
      </c>
      <c r="AS65" s="38">
        <f>AS63/AS59*100</f>
        <v>96.753246753246742</v>
      </c>
      <c r="AT65" s="108">
        <f>AT63/AT59*100</f>
        <v>96.296296296296291</v>
      </c>
      <c r="AU65" s="109"/>
    </row>
    <row r="66" spans="1:47" ht="21" customHeight="1">
      <c r="A66" s="72"/>
      <c r="B66" s="72"/>
      <c r="C66" s="72"/>
      <c r="D66" s="72"/>
      <c r="E66" s="72"/>
      <c r="F66" s="72"/>
      <c r="G66" s="72"/>
      <c r="H66" s="72"/>
      <c r="I66" s="72"/>
      <c r="J66" s="72"/>
      <c r="K66" s="72"/>
      <c r="L66" s="72"/>
      <c r="M66" s="72"/>
      <c r="N66" s="72"/>
      <c r="O66" s="72"/>
      <c r="P66" s="72"/>
      <c r="Q66" s="72"/>
      <c r="R66" s="72"/>
      <c r="S66" s="72"/>
      <c r="T66" s="72"/>
      <c r="U66" s="72"/>
      <c r="V66" s="72"/>
      <c r="W66" s="72"/>
      <c r="X66" s="72"/>
      <c r="Y66" s="1"/>
      <c r="Z66" s="77"/>
      <c r="AA66" s="72"/>
      <c r="AB66" s="72"/>
      <c r="AC66" s="72"/>
      <c r="AD66" s="72"/>
      <c r="AE66" s="72"/>
      <c r="AF66" s="72"/>
      <c r="AG66" s="72"/>
      <c r="AH66" s="72"/>
      <c r="AI66" s="72"/>
      <c r="AJ66" s="72"/>
      <c r="AK66" s="79"/>
      <c r="AL66" s="1"/>
      <c r="AM66" s="105" t="s">
        <v>56</v>
      </c>
      <c r="AN66" s="106"/>
      <c r="AO66" s="106"/>
      <c r="AP66" s="106"/>
      <c r="AQ66" s="107"/>
      <c r="AR66" s="2">
        <v>0</v>
      </c>
      <c r="AS66" s="2">
        <v>0</v>
      </c>
      <c r="AT66" s="110">
        <v>0</v>
      </c>
      <c r="AU66" s="111"/>
    </row>
    <row r="67" spans="1:47" ht="9" customHeight="1">
      <c r="A67" s="72"/>
      <c r="B67" s="72"/>
      <c r="C67" s="72"/>
      <c r="D67" s="72"/>
      <c r="E67" s="72"/>
      <c r="F67" s="72"/>
      <c r="G67" s="72"/>
      <c r="H67" s="72"/>
      <c r="I67" s="72"/>
      <c r="J67" s="72"/>
      <c r="K67" s="72"/>
      <c r="L67" s="72"/>
      <c r="M67" s="72"/>
      <c r="N67" s="72"/>
      <c r="O67" s="72"/>
      <c r="P67" s="72"/>
      <c r="Q67" s="72"/>
      <c r="R67" s="72"/>
      <c r="S67" s="72"/>
      <c r="T67" s="72"/>
      <c r="U67" s="72"/>
      <c r="V67" s="72"/>
      <c r="W67" s="72"/>
      <c r="X67" s="72"/>
      <c r="Y67" s="1"/>
      <c r="Z67" s="77"/>
      <c r="AA67" s="78"/>
      <c r="AB67" s="78"/>
      <c r="AC67" s="78"/>
      <c r="AD67" s="78"/>
      <c r="AE67" s="78"/>
      <c r="AF67" s="78"/>
      <c r="AG67" s="78"/>
      <c r="AH67" s="78"/>
      <c r="AI67" s="78"/>
      <c r="AJ67" s="78"/>
      <c r="AK67" s="79"/>
      <c r="AL67" s="1"/>
      <c r="AM67" s="112" t="s">
        <v>57</v>
      </c>
      <c r="AN67" s="113"/>
      <c r="AO67" s="113"/>
      <c r="AP67" s="113"/>
      <c r="AQ67" s="114"/>
      <c r="AR67" s="66">
        <v>0</v>
      </c>
      <c r="AS67" s="66">
        <v>0</v>
      </c>
      <c r="AT67" s="60">
        <v>0</v>
      </c>
      <c r="AU67" s="61"/>
    </row>
    <row r="68" spans="1:47" ht="4.1500000000000004" customHeight="1">
      <c r="A68" s="1"/>
      <c r="B68" s="68" t="s">
        <v>58</v>
      </c>
      <c r="C68" s="69"/>
      <c r="D68" s="69"/>
      <c r="E68" s="69"/>
      <c r="F68" s="69"/>
      <c r="G68" s="69"/>
      <c r="H68" s="69"/>
      <c r="I68" s="69"/>
      <c r="J68" s="69"/>
      <c r="K68" s="69"/>
      <c r="L68" s="69"/>
      <c r="M68" s="69"/>
      <c r="N68" s="69"/>
      <c r="O68" s="69"/>
      <c r="P68" s="69"/>
      <c r="Q68" s="69"/>
      <c r="R68" s="69"/>
      <c r="S68" s="69"/>
      <c r="T68" s="69"/>
      <c r="U68" s="69"/>
      <c r="V68" s="69"/>
      <c r="W68" s="69"/>
      <c r="X68" s="70"/>
      <c r="Y68" s="1"/>
      <c r="Z68" s="82" t="s">
        <v>59</v>
      </c>
      <c r="AA68" s="83"/>
      <c r="AB68" s="83"/>
      <c r="AC68" s="83"/>
      <c r="AD68" s="83"/>
      <c r="AE68" s="83"/>
      <c r="AF68" s="83"/>
      <c r="AG68" s="83"/>
      <c r="AH68" s="83"/>
      <c r="AI68" s="83"/>
      <c r="AJ68" s="83"/>
      <c r="AK68" s="84"/>
      <c r="AL68" s="1"/>
      <c r="AM68" s="99"/>
      <c r="AN68" s="100"/>
      <c r="AO68" s="100"/>
      <c r="AP68" s="100"/>
      <c r="AQ68" s="101"/>
      <c r="AR68" s="102"/>
      <c r="AS68" s="102"/>
      <c r="AT68" s="103"/>
      <c r="AU68" s="104"/>
    </row>
    <row r="69" spans="1:47" ht="6" customHeight="1">
      <c r="A69" s="1"/>
      <c r="B69" s="71"/>
      <c r="C69" s="72"/>
      <c r="D69" s="72"/>
      <c r="E69" s="72"/>
      <c r="F69" s="72"/>
      <c r="G69" s="72"/>
      <c r="H69" s="72"/>
      <c r="I69" s="72"/>
      <c r="J69" s="72"/>
      <c r="K69" s="72"/>
      <c r="L69" s="72"/>
      <c r="M69" s="72"/>
      <c r="N69" s="72"/>
      <c r="O69" s="72"/>
      <c r="P69" s="72"/>
      <c r="Q69" s="72"/>
      <c r="R69" s="72"/>
      <c r="S69" s="72"/>
      <c r="T69" s="72"/>
      <c r="U69" s="72"/>
      <c r="V69" s="72"/>
      <c r="W69" s="72"/>
      <c r="X69" s="73"/>
      <c r="Y69" s="1"/>
      <c r="Z69" s="82"/>
      <c r="AA69" s="83"/>
      <c r="AB69" s="83"/>
      <c r="AC69" s="83"/>
      <c r="AD69" s="83"/>
      <c r="AE69" s="83"/>
      <c r="AF69" s="83"/>
      <c r="AG69" s="83"/>
      <c r="AH69" s="83"/>
      <c r="AI69" s="83"/>
      <c r="AJ69" s="83"/>
      <c r="AK69" s="84"/>
      <c r="AL69" s="1"/>
      <c r="AM69" s="87" t="s">
        <v>60</v>
      </c>
      <c r="AN69" s="88"/>
      <c r="AO69" s="88"/>
      <c r="AP69" s="88"/>
      <c r="AQ69" s="89"/>
      <c r="AR69" s="66">
        <v>0</v>
      </c>
      <c r="AS69" s="66">
        <v>0</v>
      </c>
      <c r="AT69" s="60">
        <v>0</v>
      </c>
      <c r="AU69" s="61"/>
    </row>
    <row r="70" spans="1:47" ht="7.15" customHeight="1">
      <c r="A70" s="1"/>
      <c r="B70" s="71"/>
      <c r="C70" s="72"/>
      <c r="D70" s="72"/>
      <c r="E70" s="72"/>
      <c r="F70" s="72"/>
      <c r="G70" s="72"/>
      <c r="H70" s="72"/>
      <c r="I70" s="72"/>
      <c r="J70" s="72"/>
      <c r="K70" s="72"/>
      <c r="L70" s="72"/>
      <c r="M70" s="72"/>
      <c r="N70" s="72"/>
      <c r="O70" s="72"/>
      <c r="P70" s="72"/>
      <c r="Q70" s="72"/>
      <c r="R70" s="72"/>
      <c r="S70" s="72"/>
      <c r="T70" s="72"/>
      <c r="U70" s="72"/>
      <c r="V70" s="72"/>
      <c r="W70" s="72"/>
      <c r="X70" s="73"/>
      <c r="Y70" s="1"/>
      <c r="Z70" s="77" t="s">
        <v>61</v>
      </c>
      <c r="AA70" s="78"/>
      <c r="AB70" s="78"/>
      <c r="AC70" s="78"/>
      <c r="AD70" s="78"/>
      <c r="AE70" s="78"/>
      <c r="AF70" s="78"/>
      <c r="AG70" s="78"/>
      <c r="AH70" s="78"/>
      <c r="AI70" s="78"/>
      <c r="AJ70" s="78"/>
      <c r="AK70" s="79"/>
      <c r="AL70" s="1"/>
      <c r="AM70" s="99"/>
      <c r="AN70" s="100"/>
      <c r="AO70" s="100"/>
      <c r="AP70" s="100"/>
      <c r="AQ70" s="101"/>
      <c r="AR70" s="102"/>
      <c r="AS70" s="102"/>
      <c r="AT70" s="103"/>
      <c r="AU70" s="104"/>
    </row>
    <row r="71" spans="1:47" ht="3" customHeight="1">
      <c r="A71" s="1"/>
      <c r="B71" s="74"/>
      <c r="C71" s="75"/>
      <c r="D71" s="75"/>
      <c r="E71" s="75"/>
      <c r="F71" s="75"/>
      <c r="G71" s="75"/>
      <c r="H71" s="75"/>
      <c r="I71" s="75"/>
      <c r="J71" s="75"/>
      <c r="K71" s="75"/>
      <c r="L71" s="75"/>
      <c r="M71" s="75"/>
      <c r="N71" s="75"/>
      <c r="O71" s="75"/>
      <c r="P71" s="75"/>
      <c r="Q71" s="75"/>
      <c r="R71" s="75"/>
      <c r="S71" s="75"/>
      <c r="T71" s="75"/>
      <c r="U71" s="75"/>
      <c r="V71" s="75"/>
      <c r="W71" s="75"/>
      <c r="X71" s="76"/>
      <c r="Y71" s="1"/>
      <c r="Z71" s="77"/>
      <c r="AA71" s="72"/>
      <c r="AB71" s="72"/>
      <c r="AC71" s="72"/>
      <c r="AD71" s="72"/>
      <c r="AE71" s="72"/>
      <c r="AF71" s="72"/>
      <c r="AG71" s="72"/>
      <c r="AH71" s="72"/>
      <c r="AI71" s="72"/>
      <c r="AJ71" s="72"/>
      <c r="AK71" s="79"/>
      <c r="AL71" s="1"/>
      <c r="AM71" s="87" t="s">
        <v>62</v>
      </c>
      <c r="AN71" s="88"/>
      <c r="AO71" s="88"/>
      <c r="AP71" s="88"/>
      <c r="AQ71" s="89"/>
      <c r="AR71" s="66">
        <v>1</v>
      </c>
      <c r="AS71" s="66">
        <v>0</v>
      </c>
      <c r="AT71" s="60">
        <v>0</v>
      </c>
      <c r="AU71" s="61"/>
    </row>
    <row r="72" spans="1:47" ht="10.15" customHeight="1" thickBot="1">
      <c r="A72" s="1"/>
      <c r="B72" s="1"/>
      <c r="C72" s="1"/>
      <c r="D72" s="1"/>
      <c r="E72" s="1"/>
      <c r="F72" s="1"/>
      <c r="G72" s="1"/>
      <c r="H72" s="1"/>
      <c r="I72" s="1"/>
      <c r="J72" s="1"/>
      <c r="K72" s="1"/>
      <c r="L72" s="1"/>
      <c r="M72" s="1"/>
      <c r="N72" s="1"/>
      <c r="O72" s="1"/>
      <c r="P72" s="1"/>
      <c r="Q72" s="1"/>
      <c r="R72" s="1"/>
      <c r="S72" s="1"/>
      <c r="T72" s="1"/>
      <c r="U72" s="1"/>
      <c r="V72" s="1"/>
      <c r="W72" s="1"/>
      <c r="X72" s="1"/>
      <c r="Y72" s="1"/>
      <c r="Z72" s="77"/>
      <c r="AA72" s="72"/>
      <c r="AB72" s="72"/>
      <c r="AC72" s="72"/>
      <c r="AD72" s="72"/>
      <c r="AE72" s="72"/>
      <c r="AF72" s="72"/>
      <c r="AG72" s="72"/>
      <c r="AH72" s="72"/>
      <c r="AI72" s="72"/>
      <c r="AJ72" s="72"/>
      <c r="AK72" s="79"/>
      <c r="AL72" s="1"/>
      <c r="AM72" s="90"/>
      <c r="AN72" s="91"/>
      <c r="AO72" s="91"/>
      <c r="AP72" s="91"/>
      <c r="AQ72" s="92"/>
      <c r="AR72" s="67"/>
      <c r="AS72" s="67"/>
      <c r="AT72" s="62"/>
      <c r="AU72" s="63"/>
    </row>
    <row r="73" spans="1:47" ht="10.15" customHeight="1">
      <c r="A73" s="1"/>
      <c r="B73" s="1"/>
      <c r="C73" s="1"/>
      <c r="D73" s="1"/>
      <c r="E73" s="1"/>
      <c r="F73" s="1"/>
      <c r="G73" s="1"/>
      <c r="H73" s="1"/>
      <c r="I73" s="1"/>
      <c r="J73" s="1"/>
      <c r="K73" s="1"/>
      <c r="L73" s="1"/>
      <c r="M73" s="1"/>
      <c r="N73" s="1"/>
      <c r="O73" s="1"/>
      <c r="P73" s="1"/>
      <c r="Q73" s="1"/>
      <c r="R73" s="1"/>
      <c r="S73" s="1"/>
      <c r="T73" s="1"/>
      <c r="U73" s="1"/>
      <c r="V73" s="1"/>
      <c r="W73" s="1"/>
      <c r="X73" s="1"/>
      <c r="Y73" s="1"/>
      <c r="Z73" s="77"/>
      <c r="AA73" s="78"/>
      <c r="AB73" s="78"/>
      <c r="AC73" s="78"/>
      <c r="AD73" s="78"/>
      <c r="AE73" s="78"/>
      <c r="AF73" s="78"/>
      <c r="AG73" s="78"/>
      <c r="AH73" s="78"/>
      <c r="AI73" s="78"/>
      <c r="AJ73" s="78"/>
      <c r="AK73" s="79"/>
      <c r="AL73" s="1"/>
      <c r="AM73" s="1"/>
      <c r="AN73" s="1"/>
      <c r="AO73" s="1"/>
      <c r="AP73" s="1"/>
      <c r="AQ73" s="1"/>
      <c r="AR73" s="1"/>
      <c r="AS73" s="1"/>
      <c r="AT73" s="1"/>
      <c r="AU73" s="1"/>
    </row>
    <row r="74" spans="1:47" ht="10.15" customHeight="1">
      <c r="A74" s="1"/>
      <c r="B74" s="1"/>
      <c r="C74" s="1"/>
      <c r="D74" s="1"/>
      <c r="E74" s="1"/>
      <c r="F74" s="1"/>
      <c r="G74" s="1"/>
      <c r="H74" s="1"/>
      <c r="I74" s="1"/>
      <c r="J74" s="1"/>
      <c r="K74" s="1"/>
      <c r="L74" s="1"/>
      <c r="M74" s="1"/>
      <c r="N74" s="1"/>
      <c r="O74" s="1"/>
      <c r="P74" s="1"/>
      <c r="Q74" s="1"/>
      <c r="R74" s="1"/>
      <c r="S74" s="1"/>
      <c r="T74" s="1"/>
      <c r="U74" s="1"/>
      <c r="V74" s="1"/>
      <c r="W74" s="1"/>
      <c r="X74" s="1"/>
      <c r="Y74" s="1"/>
      <c r="Z74" s="82" t="s">
        <v>63</v>
      </c>
      <c r="AA74" s="83"/>
      <c r="AB74" s="83"/>
      <c r="AC74" s="83"/>
      <c r="AD74" s="83"/>
      <c r="AE74" s="83"/>
      <c r="AF74" s="83"/>
      <c r="AG74" s="83"/>
      <c r="AH74" s="83"/>
      <c r="AI74" s="83"/>
      <c r="AJ74" s="83"/>
      <c r="AK74" s="84"/>
      <c r="AL74" s="1"/>
      <c r="AM74" s="85" t="s">
        <v>64</v>
      </c>
      <c r="AN74" s="72"/>
      <c r="AO74" s="72"/>
      <c r="AP74" s="72"/>
      <c r="AQ74" s="72"/>
      <c r="AR74" s="72"/>
      <c r="AS74" s="72"/>
      <c r="AT74" s="72"/>
      <c r="AU74" s="72"/>
    </row>
    <row r="75" spans="1:47" ht="10.15" customHeight="1">
      <c r="A75" s="1"/>
      <c r="B75" s="1"/>
      <c r="C75" s="1"/>
      <c r="D75" s="1"/>
      <c r="E75" s="1"/>
      <c r="F75" s="1"/>
      <c r="G75" s="1"/>
      <c r="H75" s="1"/>
      <c r="I75" s="1"/>
      <c r="J75" s="1"/>
      <c r="K75" s="1"/>
      <c r="L75" s="1"/>
      <c r="M75" s="1"/>
      <c r="N75" s="1"/>
      <c r="O75" s="1"/>
      <c r="P75" s="1"/>
      <c r="Q75" s="1"/>
      <c r="R75" s="1"/>
      <c r="S75" s="1"/>
      <c r="T75" s="1"/>
      <c r="U75" s="1"/>
      <c r="V75" s="1"/>
      <c r="W75" s="1"/>
      <c r="X75" s="1"/>
      <c r="Y75" s="1"/>
      <c r="Z75" s="77" t="s">
        <v>65</v>
      </c>
      <c r="AA75" s="78"/>
      <c r="AB75" s="78"/>
      <c r="AC75" s="78"/>
      <c r="AD75" s="78"/>
      <c r="AE75" s="78"/>
      <c r="AF75" s="78"/>
      <c r="AG75" s="78"/>
      <c r="AH75" s="78"/>
      <c r="AI75" s="78"/>
      <c r="AJ75" s="78"/>
      <c r="AK75" s="79"/>
      <c r="AL75" s="1"/>
      <c r="AM75" s="72"/>
      <c r="AN75" s="72"/>
      <c r="AO75" s="72"/>
      <c r="AP75" s="72"/>
      <c r="AQ75" s="72"/>
      <c r="AR75" s="72"/>
      <c r="AS75" s="72"/>
      <c r="AT75" s="72"/>
      <c r="AU75" s="72"/>
    </row>
    <row r="76" spans="1:47" ht="19.899999999999999" customHeight="1">
      <c r="A76" s="1"/>
      <c r="B76" s="1"/>
      <c r="C76" s="1"/>
      <c r="D76" s="1"/>
      <c r="E76" s="1"/>
      <c r="F76" s="1"/>
      <c r="G76" s="1"/>
      <c r="H76" s="1"/>
      <c r="I76" s="1"/>
      <c r="J76" s="1"/>
      <c r="K76" s="1"/>
      <c r="L76" s="1"/>
      <c r="M76" s="1"/>
      <c r="N76" s="1"/>
      <c r="O76" s="1"/>
      <c r="P76" s="1"/>
      <c r="Q76" s="1"/>
      <c r="R76" s="1"/>
      <c r="S76" s="1"/>
      <c r="T76" s="1"/>
      <c r="U76" s="1"/>
      <c r="V76" s="1"/>
      <c r="W76" s="1"/>
      <c r="X76" s="1"/>
      <c r="Y76" s="1"/>
      <c r="Z76" s="77"/>
      <c r="AA76" s="78"/>
      <c r="AB76" s="78"/>
      <c r="AC76" s="78"/>
      <c r="AD76" s="78"/>
      <c r="AE76" s="78"/>
      <c r="AF76" s="78"/>
      <c r="AG76" s="78"/>
      <c r="AH76" s="78"/>
      <c r="AI76" s="78"/>
      <c r="AJ76" s="78"/>
      <c r="AK76" s="79"/>
      <c r="AL76" s="1"/>
      <c r="AM76" s="1"/>
      <c r="AN76" s="86" t="s">
        <v>130</v>
      </c>
      <c r="AO76" s="86"/>
      <c r="AP76" s="86"/>
      <c r="AQ76" s="86"/>
      <c r="AR76" s="86"/>
      <c r="AS76" s="86"/>
      <c r="AT76" s="86"/>
      <c r="AU76" s="86"/>
    </row>
    <row r="77" spans="1:47" ht="10.15" customHeight="1" thickBot="1">
      <c r="A77" s="1"/>
      <c r="B77" s="1"/>
      <c r="C77" s="1"/>
      <c r="D77" s="1"/>
      <c r="E77" s="1"/>
      <c r="F77" s="1"/>
      <c r="G77" s="1"/>
      <c r="H77" s="1"/>
      <c r="I77" s="1"/>
      <c r="J77" s="1"/>
      <c r="K77" s="1"/>
      <c r="L77" s="1"/>
      <c r="M77" s="1"/>
      <c r="N77" s="1"/>
      <c r="O77" s="1"/>
      <c r="P77" s="1"/>
      <c r="Q77" s="1"/>
      <c r="R77" s="1"/>
      <c r="S77" s="1"/>
      <c r="T77" s="1"/>
      <c r="U77" s="1"/>
      <c r="V77" s="1"/>
      <c r="W77" s="1"/>
      <c r="X77" s="1"/>
      <c r="Y77" s="1"/>
      <c r="Z77" s="82" t="s">
        <v>66</v>
      </c>
      <c r="AA77" s="83"/>
      <c r="AB77" s="83"/>
      <c r="AC77" s="83"/>
      <c r="AD77" s="83"/>
      <c r="AE77" s="83"/>
      <c r="AF77" s="83"/>
      <c r="AG77" s="83"/>
      <c r="AH77" s="83"/>
      <c r="AI77" s="83"/>
      <c r="AJ77" s="83"/>
      <c r="AK77" s="84"/>
      <c r="AL77" s="1"/>
      <c r="AM77" s="1"/>
      <c r="AN77" s="65"/>
      <c r="AO77" s="65"/>
      <c r="AP77" s="65"/>
      <c r="AQ77" s="65"/>
      <c r="AR77" s="65"/>
      <c r="AS77" s="65"/>
      <c r="AT77" s="65"/>
      <c r="AU77" s="65"/>
    </row>
    <row r="78" spans="1:47" ht="10.15" customHeight="1">
      <c r="A78" s="1"/>
      <c r="B78" s="1"/>
      <c r="C78" s="1"/>
      <c r="D78" s="1"/>
      <c r="E78" s="1"/>
      <c r="F78" s="1"/>
      <c r="G78" s="1"/>
      <c r="H78" s="1"/>
      <c r="I78" s="1"/>
      <c r="J78" s="1"/>
      <c r="K78" s="1"/>
      <c r="L78" s="1"/>
      <c r="M78" s="1"/>
      <c r="N78" s="1"/>
      <c r="O78" s="1"/>
      <c r="P78" s="1"/>
      <c r="Q78" s="1"/>
      <c r="R78" s="1"/>
      <c r="S78" s="1"/>
      <c r="T78" s="1"/>
      <c r="U78" s="1"/>
      <c r="V78" s="1"/>
      <c r="W78" s="1"/>
      <c r="X78" s="1"/>
      <c r="Y78" s="1"/>
      <c r="Z78" s="77" t="s">
        <v>67</v>
      </c>
      <c r="AA78" s="78"/>
      <c r="AB78" s="78"/>
      <c r="AC78" s="78"/>
      <c r="AD78" s="78"/>
      <c r="AE78" s="78"/>
      <c r="AF78" s="78"/>
      <c r="AG78" s="78"/>
      <c r="AH78" s="78"/>
      <c r="AI78" s="78"/>
      <c r="AJ78" s="78"/>
      <c r="AK78" s="79"/>
      <c r="AL78" s="1"/>
      <c r="AM78" s="1"/>
      <c r="AN78" s="81" t="s">
        <v>68</v>
      </c>
      <c r="AO78" s="72"/>
      <c r="AP78" s="72"/>
      <c r="AQ78" s="72"/>
      <c r="AR78" s="72"/>
      <c r="AS78" s="72"/>
      <c r="AT78" s="72"/>
      <c r="AU78" s="72"/>
    </row>
    <row r="79" spans="1:47" ht="10.15" customHeight="1">
      <c r="A79" s="1"/>
      <c r="B79" s="1"/>
      <c r="C79" s="1"/>
      <c r="D79" s="1"/>
      <c r="E79" s="1"/>
      <c r="F79" s="1"/>
      <c r="G79" s="1"/>
      <c r="H79" s="1"/>
      <c r="I79" s="1"/>
      <c r="J79" s="1"/>
      <c r="K79" s="1"/>
      <c r="L79" s="1"/>
      <c r="M79" s="1"/>
      <c r="N79" s="1"/>
      <c r="O79" s="1"/>
      <c r="P79" s="1"/>
      <c r="Q79" s="1"/>
      <c r="R79" s="1"/>
      <c r="S79" s="1"/>
      <c r="T79" s="1"/>
      <c r="U79" s="1"/>
      <c r="V79" s="1"/>
      <c r="W79" s="1"/>
      <c r="X79" s="1"/>
      <c r="Y79" s="1"/>
      <c r="Z79" s="93" t="s">
        <v>69</v>
      </c>
      <c r="AA79" s="94"/>
      <c r="AB79" s="94"/>
      <c r="AC79" s="94"/>
      <c r="AD79" s="94"/>
      <c r="AE79" s="94"/>
      <c r="AF79" s="94"/>
      <c r="AG79" s="94"/>
      <c r="AH79" s="94"/>
      <c r="AI79" s="94"/>
      <c r="AJ79" s="94"/>
      <c r="AK79" s="95"/>
      <c r="AL79" s="1"/>
      <c r="AM79" s="1"/>
      <c r="AN79" s="72"/>
      <c r="AO79" s="72"/>
      <c r="AP79" s="72"/>
      <c r="AQ79" s="72"/>
      <c r="AR79" s="72"/>
      <c r="AS79" s="72"/>
      <c r="AT79" s="72"/>
      <c r="AU79" s="72"/>
    </row>
    <row r="80" spans="1:47" ht="10.9" customHeight="1">
      <c r="A80" s="1"/>
      <c r="B80" s="1"/>
      <c r="C80" s="1"/>
      <c r="D80" s="1"/>
      <c r="E80" s="1"/>
      <c r="F80" s="1"/>
      <c r="G80" s="1"/>
      <c r="H80" s="1"/>
      <c r="I80" s="1"/>
      <c r="J80" s="1"/>
      <c r="K80" s="1"/>
      <c r="L80" s="1"/>
      <c r="M80" s="1"/>
      <c r="N80" s="1"/>
      <c r="O80" s="1"/>
      <c r="P80" s="1"/>
      <c r="Q80" s="1"/>
      <c r="R80" s="1"/>
      <c r="S80" s="1"/>
      <c r="T80" s="1"/>
      <c r="U80" s="1"/>
      <c r="V80" s="1"/>
      <c r="W80" s="1"/>
      <c r="X80" s="1"/>
      <c r="Y80" s="1"/>
      <c r="Z80" s="96"/>
      <c r="AA80" s="97"/>
      <c r="AB80" s="97"/>
      <c r="AC80" s="97"/>
      <c r="AD80" s="97"/>
      <c r="AE80" s="97"/>
      <c r="AF80" s="97"/>
      <c r="AG80" s="97"/>
      <c r="AH80" s="97"/>
      <c r="AI80" s="97"/>
      <c r="AJ80" s="97"/>
      <c r="AK80" s="98"/>
      <c r="AL80" s="1"/>
      <c r="AM80" s="85" t="s">
        <v>70</v>
      </c>
      <c r="AN80" s="72"/>
      <c r="AO80" s="72"/>
      <c r="AP80" s="72"/>
      <c r="AQ80" s="72"/>
      <c r="AR80" s="72"/>
      <c r="AS80" s="72"/>
      <c r="AT80" s="72"/>
      <c r="AU80" s="72"/>
    </row>
    <row r="81" spans="1:47" ht="9"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72"/>
      <c r="AN81" s="72"/>
      <c r="AO81" s="72"/>
      <c r="AP81" s="72"/>
      <c r="AQ81" s="72"/>
      <c r="AR81" s="72"/>
      <c r="AS81" s="72"/>
      <c r="AT81" s="72"/>
      <c r="AU81" s="72"/>
    </row>
    <row r="82" spans="1:47" ht="22.9" customHeight="1" thickBot="1">
      <c r="A82" s="1"/>
      <c r="B82" s="1"/>
      <c r="C82" s="1"/>
      <c r="D82" s="1"/>
      <c r="E82" s="1"/>
      <c r="F82" s="1"/>
      <c r="G82" s="1"/>
      <c r="H82" s="1"/>
      <c r="I82" s="1"/>
      <c r="J82" s="1"/>
      <c r="K82" s="1"/>
      <c r="L82" s="1"/>
      <c r="M82" s="1"/>
      <c r="N82" s="1"/>
      <c r="O82" s="1"/>
      <c r="P82" s="1"/>
      <c r="Q82" s="1"/>
      <c r="R82" s="1"/>
      <c r="S82" s="1"/>
      <c r="T82" s="1"/>
      <c r="U82" s="1"/>
      <c r="V82" s="1"/>
      <c r="W82" s="1"/>
      <c r="X82" s="1"/>
      <c r="Y82" s="1"/>
      <c r="Z82" s="64" t="s">
        <v>130</v>
      </c>
      <c r="AA82" s="64"/>
      <c r="AB82" s="64"/>
      <c r="AC82" s="64"/>
      <c r="AD82" s="64"/>
      <c r="AE82" s="64"/>
      <c r="AF82" s="64"/>
      <c r="AG82" s="64"/>
      <c r="AH82" s="64"/>
      <c r="AI82" s="64"/>
      <c r="AJ82" s="64"/>
      <c r="AK82" s="64"/>
      <c r="AL82" s="1"/>
      <c r="AM82" s="1"/>
      <c r="AN82" s="65" t="s">
        <v>128</v>
      </c>
      <c r="AO82" s="65"/>
      <c r="AP82" s="65"/>
      <c r="AQ82" s="65"/>
      <c r="AR82" s="65"/>
      <c r="AS82" s="65"/>
      <c r="AT82" s="65"/>
      <c r="AU82" s="1"/>
    </row>
    <row r="83" spans="1:47" ht="10.15" customHeight="1">
      <c r="A83" s="1"/>
      <c r="B83" s="1"/>
      <c r="C83" s="1"/>
      <c r="D83" s="1"/>
      <c r="E83" s="1"/>
      <c r="F83" s="1"/>
      <c r="G83" s="1"/>
      <c r="H83" s="1"/>
      <c r="I83" s="1"/>
      <c r="J83" s="1"/>
      <c r="K83" s="1"/>
      <c r="L83" s="1"/>
      <c r="M83" s="1"/>
      <c r="N83" s="1"/>
      <c r="O83" s="1"/>
      <c r="P83" s="1"/>
      <c r="Q83" s="1"/>
      <c r="R83" s="1"/>
      <c r="S83" s="1"/>
      <c r="T83" s="1"/>
      <c r="U83" s="1"/>
      <c r="V83" s="1"/>
      <c r="W83" s="1"/>
      <c r="X83" s="1"/>
      <c r="Y83" s="1"/>
      <c r="Z83" s="80" t="s">
        <v>71</v>
      </c>
      <c r="AA83" s="80"/>
      <c r="AB83" s="80"/>
      <c r="AC83" s="80"/>
      <c r="AD83" s="80"/>
      <c r="AE83" s="80"/>
      <c r="AF83" s="80"/>
      <c r="AG83" s="80"/>
      <c r="AH83" s="80"/>
      <c r="AI83" s="80"/>
      <c r="AJ83" s="80"/>
      <c r="AK83" s="80"/>
      <c r="AL83" s="1"/>
      <c r="AM83" s="1"/>
      <c r="AN83" s="81" t="s">
        <v>72</v>
      </c>
      <c r="AO83" s="72"/>
      <c r="AP83" s="72"/>
      <c r="AQ83" s="72"/>
      <c r="AR83" s="72"/>
      <c r="AS83" s="72"/>
      <c r="AT83" s="72"/>
      <c r="AU83" s="72"/>
    </row>
  </sheetData>
  <mergeCells count="681">
    <mergeCell ref="A1:AU1"/>
    <mergeCell ref="A2:AU2"/>
    <mergeCell ref="A3:D3"/>
    <mergeCell ref="F3:I3"/>
    <mergeCell ref="J3:L3"/>
    <mergeCell ref="M3:R3"/>
    <mergeCell ref="S3:Z3"/>
    <mergeCell ref="AA3:AG3"/>
    <mergeCell ref="A4:D4"/>
    <mergeCell ref="F4:R4"/>
    <mergeCell ref="S4:Z4"/>
    <mergeCell ref="AA4:AG4"/>
    <mergeCell ref="AI4:AL4"/>
    <mergeCell ref="AM4:AU4"/>
    <mergeCell ref="AW4:AY4"/>
    <mergeCell ref="A5:B7"/>
    <mergeCell ref="C5:E7"/>
    <mergeCell ref="F5:AL5"/>
    <mergeCell ref="AM5:AP6"/>
    <mergeCell ref="AQ5:AU7"/>
    <mergeCell ref="AW5:AY6"/>
    <mergeCell ref="F6:G6"/>
    <mergeCell ref="L6:M6"/>
    <mergeCell ref="R6:S6"/>
    <mergeCell ref="V6:W6"/>
    <mergeCell ref="X6:Y6"/>
    <mergeCell ref="Z6:AA6"/>
    <mergeCell ref="AG6:AH6"/>
    <mergeCell ref="AK6:AL6"/>
    <mergeCell ref="F7:G7"/>
    <mergeCell ref="L7:M7"/>
    <mergeCell ref="R7:S7"/>
    <mergeCell ref="V7:W7"/>
    <mergeCell ref="X7:Y7"/>
    <mergeCell ref="Z7:AA7"/>
    <mergeCell ref="AG7:AH7"/>
    <mergeCell ref="AK7:AL7"/>
    <mergeCell ref="AM7:AN7"/>
    <mergeCell ref="AO7:AP7"/>
    <mergeCell ref="A8:B8"/>
    <mergeCell ref="C8:E8"/>
    <mergeCell ref="F8:G8"/>
    <mergeCell ref="L8:M8"/>
    <mergeCell ref="R8:S8"/>
    <mergeCell ref="V8:W8"/>
    <mergeCell ref="X8:Y8"/>
    <mergeCell ref="Z8:AA8"/>
    <mergeCell ref="AG8:AH8"/>
    <mergeCell ref="AK8:AL8"/>
    <mergeCell ref="AM8:AN8"/>
    <mergeCell ref="AO8:AP8"/>
    <mergeCell ref="AQ8:AU8"/>
    <mergeCell ref="A9:B9"/>
    <mergeCell ref="C9:E9"/>
    <mergeCell ref="F9:G9"/>
    <mergeCell ref="L9:M9"/>
    <mergeCell ref="R9:S9"/>
    <mergeCell ref="V9:W9"/>
    <mergeCell ref="X9:Y9"/>
    <mergeCell ref="Z9:AA9"/>
    <mergeCell ref="AG9:AH9"/>
    <mergeCell ref="AK9:AL9"/>
    <mergeCell ref="AM9:AN9"/>
    <mergeCell ref="AO9:AP9"/>
    <mergeCell ref="AQ9:AU9"/>
    <mergeCell ref="A10:B10"/>
    <mergeCell ref="C10:E10"/>
    <mergeCell ref="F10:G10"/>
    <mergeCell ref="L10:M10"/>
    <mergeCell ref="R10:S10"/>
    <mergeCell ref="V10:W10"/>
    <mergeCell ref="X10:Y10"/>
    <mergeCell ref="Z10:AA10"/>
    <mergeCell ref="AG10:AH10"/>
    <mergeCell ref="AK10:AL10"/>
    <mergeCell ref="AM10:AN10"/>
    <mergeCell ref="AO10:AP10"/>
    <mergeCell ref="AQ10:AU10"/>
    <mergeCell ref="A11:B11"/>
    <mergeCell ref="C11:E11"/>
    <mergeCell ref="F11:G11"/>
    <mergeCell ref="L11:M11"/>
    <mergeCell ref="R11:S11"/>
    <mergeCell ref="V11:W11"/>
    <mergeCell ref="X11:Y11"/>
    <mergeCell ref="Z11:AA11"/>
    <mergeCell ref="AG11:AH11"/>
    <mergeCell ref="AK11:AL11"/>
    <mergeCell ref="AM11:AN11"/>
    <mergeCell ref="AO11:AP11"/>
    <mergeCell ref="AQ11:AU11"/>
    <mergeCell ref="A12:B12"/>
    <mergeCell ref="C12:E12"/>
    <mergeCell ref="F12:G12"/>
    <mergeCell ref="L12:M12"/>
    <mergeCell ref="R12:S12"/>
    <mergeCell ref="V12:W12"/>
    <mergeCell ref="X12:Y12"/>
    <mergeCell ref="Z12:AA12"/>
    <mergeCell ref="AG12:AH12"/>
    <mergeCell ref="AK12:AL12"/>
    <mergeCell ref="AM12:AN12"/>
    <mergeCell ref="AO12:AP12"/>
    <mergeCell ref="AQ12:AU12"/>
    <mergeCell ref="A13:B13"/>
    <mergeCell ref="C13:E13"/>
    <mergeCell ref="F13:G13"/>
    <mergeCell ref="L13:M13"/>
    <mergeCell ref="R13:S13"/>
    <mergeCell ref="V13:W13"/>
    <mergeCell ref="X13:Y13"/>
    <mergeCell ref="Z13:AA13"/>
    <mergeCell ref="AG13:AH13"/>
    <mergeCell ref="AK13:AL13"/>
    <mergeCell ref="AM13:AN13"/>
    <mergeCell ref="AO13:AP13"/>
    <mergeCell ref="AQ13:AU13"/>
    <mergeCell ref="A14:B14"/>
    <mergeCell ref="C14:E14"/>
    <mergeCell ref="F14:G14"/>
    <mergeCell ref="L14:M14"/>
    <mergeCell ref="R14:S14"/>
    <mergeCell ref="V14:W14"/>
    <mergeCell ref="X14:Y14"/>
    <mergeCell ref="Z14:AA14"/>
    <mergeCell ref="AG14:AH14"/>
    <mergeCell ref="AK14:AL14"/>
    <mergeCell ref="AM14:AN14"/>
    <mergeCell ref="AO14:AP14"/>
    <mergeCell ref="AQ14:AU14"/>
    <mergeCell ref="A15:B15"/>
    <mergeCell ref="C15:E15"/>
    <mergeCell ref="F15:G15"/>
    <mergeCell ref="L15:M15"/>
    <mergeCell ref="R15:S15"/>
    <mergeCell ref="V15:W15"/>
    <mergeCell ref="X15:Y15"/>
    <mergeCell ref="Z15:AA15"/>
    <mergeCell ref="AG15:AH15"/>
    <mergeCell ref="AK15:AL15"/>
    <mergeCell ref="AM15:AN15"/>
    <mergeCell ref="AO15:AP15"/>
    <mergeCell ref="AQ15:AU15"/>
    <mergeCell ref="A16:B16"/>
    <mergeCell ref="C16:E16"/>
    <mergeCell ref="F16:G16"/>
    <mergeCell ref="L16:M16"/>
    <mergeCell ref="R16:S16"/>
    <mergeCell ref="V16:W16"/>
    <mergeCell ref="X16:Y16"/>
    <mergeCell ref="Z16:AA16"/>
    <mergeCell ref="AG16:AH16"/>
    <mergeCell ref="AK16:AL16"/>
    <mergeCell ref="AM16:AN16"/>
    <mergeCell ref="AO16:AP16"/>
    <mergeCell ref="AQ16:AU16"/>
    <mergeCell ref="A17:B17"/>
    <mergeCell ref="C17:E17"/>
    <mergeCell ref="F17:G17"/>
    <mergeCell ref="L17:M17"/>
    <mergeCell ref="R17:S17"/>
    <mergeCell ref="V17:W17"/>
    <mergeCell ref="X17:Y17"/>
    <mergeCell ref="Z17:AA17"/>
    <mergeCell ref="AG17:AH17"/>
    <mergeCell ref="AK17:AL17"/>
    <mergeCell ref="AM17:AN17"/>
    <mergeCell ref="AO17:AP17"/>
    <mergeCell ref="AQ17:AU17"/>
    <mergeCell ref="A18:B18"/>
    <mergeCell ref="C18:E18"/>
    <mergeCell ref="F18:G18"/>
    <mergeCell ref="L18:M18"/>
    <mergeCell ref="R18:S18"/>
    <mergeCell ref="V18:W18"/>
    <mergeCell ref="X18:Y18"/>
    <mergeCell ref="Z18:AA18"/>
    <mergeCell ref="AG18:AH18"/>
    <mergeCell ref="AK18:AL18"/>
    <mergeCell ref="AM18:AN18"/>
    <mergeCell ref="AO18:AP18"/>
    <mergeCell ref="AQ18:AU18"/>
    <mergeCell ref="A19:B19"/>
    <mergeCell ref="C19:E19"/>
    <mergeCell ref="F19:G19"/>
    <mergeCell ref="L19:M19"/>
    <mergeCell ref="R19:S19"/>
    <mergeCell ref="V19:W19"/>
    <mergeCell ref="X19:Y19"/>
    <mergeCell ref="Z19:AA19"/>
    <mergeCell ref="AG19:AH19"/>
    <mergeCell ref="AK19:AL19"/>
    <mergeCell ref="AM19:AN19"/>
    <mergeCell ref="AO19:AP19"/>
    <mergeCell ref="AQ19:AU19"/>
    <mergeCell ref="A20:B20"/>
    <mergeCell ref="C20:E20"/>
    <mergeCell ref="F20:G20"/>
    <mergeCell ref="L20:M20"/>
    <mergeCell ref="R20:S20"/>
    <mergeCell ref="V20:W20"/>
    <mergeCell ref="X20:Y20"/>
    <mergeCell ref="Z20:AA20"/>
    <mergeCell ref="AG20:AH20"/>
    <mergeCell ref="AK20:AL20"/>
    <mergeCell ref="AM20:AN20"/>
    <mergeCell ref="AO20:AP20"/>
    <mergeCell ref="AQ20:AU20"/>
    <mergeCell ref="A21:B21"/>
    <mergeCell ref="C21:E21"/>
    <mergeCell ref="F21:G21"/>
    <mergeCell ref="L21:M21"/>
    <mergeCell ref="R21:S21"/>
    <mergeCell ref="V21:W21"/>
    <mergeCell ref="X21:Y21"/>
    <mergeCell ref="Z21:AA21"/>
    <mergeCell ref="AG21:AH21"/>
    <mergeCell ref="AK21:AL21"/>
    <mergeCell ref="AM21:AN21"/>
    <mergeCell ref="AO21:AP21"/>
    <mergeCell ref="AQ21:AU21"/>
    <mergeCell ref="A22:B22"/>
    <mergeCell ref="C22:E22"/>
    <mergeCell ref="F22:G22"/>
    <mergeCell ref="L22:M22"/>
    <mergeCell ref="R22:S22"/>
    <mergeCell ref="V22:W22"/>
    <mergeCell ref="X22:Y22"/>
    <mergeCell ref="Z22:AA22"/>
    <mergeCell ref="AG22:AH22"/>
    <mergeCell ref="AK22:AL22"/>
    <mergeCell ref="AM22:AN22"/>
    <mergeCell ref="AO22:AP22"/>
    <mergeCell ref="AQ22:AU22"/>
    <mergeCell ref="A23:B23"/>
    <mergeCell ref="C23:E23"/>
    <mergeCell ref="F23:G23"/>
    <mergeCell ref="L23:M23"/>
    <mergeCell ref="R23:S23"/>
    <mergeCell ref="V23:W23"/>
    <mergeCell ref="X23:Y23"/>
    <mergeCell ref="Z23:AA23"/>
    <mergeCell ref="AG23:AH23"/>
    <mergeCell ref="AK23:AL23"/>
    <mergeCell ref="AM23:AN23"/>
    <mergeCell ref="AO23:AP23"/>
    <mergeCell ref="AQ23:AU23"/>
    <mergeCell ref="A24:B24"/>
    <mergeCell ref="C24:E24"/>
    <mergeCell ref="F24:G24"/>
    <mergeCell ref="L24:M24"/>
    <mergeCell ref="R24:S24"/>
    <mergeCell ref="V24:W24"/>
    <mergeCell ref="X24:Y24"/>
    <mergeCell ref="Z24:AA24"/>
    <mergeCell ref="AG24:AH24"/>
    <mergeCell ref="AK24:AL24"/>
    <mergeCell ref="AM24:AN24"/>
    <mergeCell ref="AO24:AP24"/>
    <mergeCell ref="AQ24:AU24"/>
    <mergeCell ref="A25:B25"/>
    <mergeCell ref="C25:E25"/>
    <mergeCell ref="F25:G25"/>
    <mergeCell ref="L25:M25"/>
    <mergeCell ref="R25:S25"/>
    <mergeCell ref="V25:W25"/>
    <mergeCell ref="X25:Y25"/>
    <mergeCell ref="Z25:AA25"/>
    <mergeCell ref="AG25:AH25"/>
    <mergeCell ref="AK25:AL25"/>
    <mergeCell ref="AM25:AN25"/>
    <mergeCell ref="AO25:AP25"/>
    <mergeCell ref="AQ25:AU25"/>
    <mergeCell ref="A26:B26"/>
    <mergeCell ref="C26:D26"/>
    <mergeCell ref="F26:G26"/>
    <mergeCell ref="L26:M26"/>
    <mergeCell ref="R26:S26"/>
    <mergeCell ref="V26:W26"/>
    <mergeCell ref="X26:Y26"/>
    <mergeCell ref="Z26:AA26"/>
    <mergeCell ref="AG26:AH26"/>
    <mergeCell ref="AK26:AL26"/>
    <mergeCell ref="AM26:AN26"/>
    <mergeCell ref="AO26:AP26"/>
    <mergeCell ref="AQ26:AT26"/>
    <mergeCell ref="A27:B27"/>
    <mergeCell ref="C27:E27"/>
    <mergeCell ref="F27:G27"/>
    <mergeCell ref="L27:M27"/>
    <mergeCell ref="R27:S27"/>
    <mergeCell ref="V27:W27"/>
    <mergeCell ref="X27:Y27"/>
    <mergeCell ref="Z27:AA27"/>
    <mergeCell ref="AG27:AH27"/>
    <mergeCell ref="AK27:AL27"/>
    <mergeCell ref="AM27:AN27"/>
    <mergeCell ref="AO27:AP27"/>
    <mergeCell ref="AQ27:AU27"/>
    <mergeCell ref="A28:B28"/>
    <mergeCell ref="C28:E28"/>
    <mergeCell ref="F28:G28"/>
    <mergeCell ref="L28:M28"/>
    <mergeCell ref="R28:S28"/>
    <mergeCell ref="V28:W28"/>
    <mergeCell ref="X28:Y28"/>
    <mergeCell ref="Z28:AA28"/>
    <mergeCell ref="AG28:AH28"/>
    <mergeCell ref="AK28:AL28"/>
    <mergeCell ref="AM28:AN28"/>
    <mergeCell ref="AO28:AP28"/>
    <mergeCell ref="AQ28:AU28"/>
    <mergeCell ref="AW28:AY28"/>
    <mergeCell ref="A29:B29"/>
    <mergeCell ref="C29:E29"/>
    <mergeCell ref="F29:G29"/>
    <mergeCell ref="L29:M29"/>
    <mergeCell ref="R29:S29"/>
    <mergeCell ref="V29:W29"/>
    <mergeCell ref="X29:Y29"/>
    <mergeCell ref="Z29:AA29"/>
    <mergeCell ref="AG29:AH29"/>
    <mergeCell ref="AK29:AL29"/>
    <mergeCell ref="AM29:AN29"/>
    <mergeCell ref="AO29:AP29"/>
    <mergeCell ref="AQ29:AU29"/>
    <mergeCell ref="A30:B30"/>
    <mergeCell ref="C30:E30"/>
    <mergeCell ref="F30:G30"/>
    <mergeCell ref="L30:M30"/>
    <mergeCell ref="R30:S30"/>
    <mergeCell ref="V30:W30"/>
    <mergeCell ref="X30:Y30"/>
    <mergeCell ref="Z30:AA30"/>
    <mergeCell ref="AG30:AH30"/>
    <mergeCell ref="AK30:AL30"/>
    <mergeCell ref="AM30:AN30"/>
    <mergeCell ref="AO30:AP30"/>
    <mergeCell ref="AQ30:AU30"/>
    <mergeCell ref="A31:B31"/>
    <mergeCell ref="C31:E31"/>
    <mergeCell ref="F31:G31"/>
    <mergeCell ref="L31:M31"/>
    <mergeCell ref="R31:S31"/>
    <mergeCell ref="V31:W31"/>
    <mergeCell ref="X31:Y31"/>
    <mergeCell ref="Z31:AA31"/>
    <mergeCell ref="AG31:AH31"/>
    <mergeCell ref="AK31:AL31"/>
    <mergeCell ref="AM31:AN31"/>
    <mergeCell ref="AO31:AP31"/>
    <mergeCell ref="AQ31:AU31"/>
    <mergeCell ref="A32:B32"/>
    <mergeCell ref="C32:E32"/>
    <mergeCell ref="F32:G32"/>
    <mergeCell ref="L32:M32"/>
    <mergeCell ref="R32:S32"/>
    <mergeCell ref="V32:W32"/>
    <mergeCell ref="X32:Y32"/>
    <mergeCell ref="Z32:AA32"/>
    <mergeCell ref="AG32:AH32"/>
    <mergeCell ref="AK32:AL32"/>
    <mergeCell ref="AM32:AN32"/>
    <mergeCell ref="AO32:AP32"/>
    <mergeCell ref="AQ32:AU32"/>
    <mergeCell ref="A33:B33"/>
    <mergeCell ref="C33:E33"/>
    <mergeCell ref="F33:G33"/>
    <mergeCell ref="L33:M33"/>
    <mergeCell ref="R33:S33"/>
    <mergeCell ref="V33:W33"/>
    <mergeCell ref="X33:Y33"/>
    <mergeCell ref="Z33:AA33"/>
    <mergeCell ref="AG33:AH33"/>
    <mergeCell ref="AK33:AL33"/>
    <mergeCell ref="AM33:AN33"/>
    <mergeCell ref="AO33:AP33"/>
    <mergeCell ref="AQ33:AU33"/>
    <mergeCell ref="A34:B34"/>
    <mergeCell ref="C34:E34"/>
    <mergeCell ref="F34:G34"/>
    <mergeCell ref="L34:M34"/>
    <mergeCell ref="R34:S34"/>
    <mergeCell ref="V34:W34"/>
    <mergeCell ref="X34:Y34"/>
    <mergeCell ref="Z34:AA34"/>
    <mergeCell ref="AG34:AH34"/>
    <mergeCell ref="AK34:AL34"/>
    <mergeCell ref="AM34:AN34"/>
    <mergeCell ref="AO34:AP34"/>
    <mergeCell ref="AQ34:AU34"/>
    <mergeCell ref="A35:B35"/>
    <mergeCell ref="C35:E35"/>
    <mergeCell ref="F35:G35"/>
    <mergeCell ref="L35:M35"/>
    <mergeCell ref="R35:S35"/>
    <mergeCell ref="V35:W35"/>
    <mergeCell ref="X35:Y35"/>
    <mergeCell ref="Z35:AA35"/>
    <mergeCell ref="AG35:AH35"/>
    <mergeCell ref="AK35:AL35"/>
    <mergeCell ref="AM35:AN35"/>
    <mergeCell ref="AO35:AP35"/>
    <mergeCell ref="AQ35:AU35"/>
    <mergeCell ref="A36:B36"/>
    <mergeCell ref="C36:E36"/>
    <mergeCell ref="F36:G36"/>
    <mergeCell ref="L36:M36"/>
    <mergeCell ref="R36:S36"/>
    <mergeCell ref="V36:W36"/>
    <mergeCell ref="X36:Y36"/>
    <mergeCell ref="Z36:AA36"/>
    <mergeCell ref="AG36:AH36"/>
    <mergeCell ref="AK36:AL36"/>
    <mergeCell ref="AM36:AN36"/>
    <mergeCell ref="AO36:AP36"/>
    <mergeCell ref="AQ36:AU36"/>
    <mergeCell ref="A37:B37"/>
    <mergeCell ref="C37:E37"/>
    <mergeCell ref="F37:G37"/>
    <mergeCell ref="L37:M37"/>
    <mergeCell ref="R37:S37"/>
    <mergeCell ref="V37:W37"/>
    <mergeCell ref="X37:Y37"/>
    <mergeCell ref="Z37:AA37"/>
    <mergeCell ref="AG37:AH37"/>
    <mergeCell ref="AK37:AL37"/>
    <mergeCell ref="AM37:AN37"/>
    <mergeCell ref="AO37:AP37"/>
    <mergeCell ref="AQ37:AU37"/>
    <mergeCell ref="A38:B38"/>
    <mergeCell ref="C38:E38"/>
    <mergeCell ref="F38:G38"/>
    <mergeCell ref="L38:M38"/>
    <mergeCell ref="R38:S38"/>
    <mergeCell ref="V38:W38"/>
    <mergeCell ref="X38:Y38"/>
    <mergeCell ref="Z38:AA38"/>
    <mergeCell ref="AG38:AH38"/>
    <mergeCell ref="AK38:AL38"/>
    <mergeCell ref="AM38:AN38"/>
    <mergeCell ref="AO38:AP38"/>
    <mergeCell ref="AQ38:AU38"/>
    <mergeCell ref="A39:B39"/>
    <mergeCell ref="C39:E39"/>
    <mergeCell ref="F39:G39"/>
    <mergeCell ref="L39:M39"/>
    <mergeCell ref="R39:S39"/>
    <mergeCell ref="V39:W39"/>
    <mergeCell ref="X39:Y39"/>
    <mergeCell ref="Z39:AA39"/>
    <mergeCell ref="AG39:AH39"/>
    <mergeCell ref="AK39:AL39"/>
    <mergeCell ref="AM39:AN39"/>
    <mergeCell ref="AO39:AP39"/>
    <mergeCell ref="AQ39:AU39"/>
    <mergeCell ref="A40:B40"/>
    <mergeCell ref="C40:E40"/>
    <mergeCell ref="F40:G40"/>
    <mergeCell ref="L40:M40"/>
    <mergeCell ref="R40:S40"/>
    <mergeCell ref="V40:W40"/>
    <mergeCell ref="X40:Y40"/>
    <mergeCell ref="Z40:AA40"/>
    <mergeCell ref="AG40:AH40"/>
    <mergeCell ref="AK40:AL40"/>
    <mergeCell ref="AM40:AN40"/>
    <mergeCell ref="AO40:AP40"/>
    <mergeCell ref="AQ40:AU40"/>
    <mergeCell ref="A41:B41"/>
    <mergeCell ref="C41:E41"/>
    <mergeCell ref="F41:G41"/>
    <mergeCell ref="L41:M41"/>
    <mergeCell ref="R41:S41"/>
    <mergeCell ref="V41:W41"/>
    <mergeCell ref="X41:Y41"/>
    <mergeCell ref="Z41:AA41"/>
    <mergeCell ref="AG41:AH41"/>
    <mergeCell ref="AK41:AL41"/>
    <mergeCell ref="AM41:AN41"/>
    <mergeCell ref="AO41:AP41"/>
    <mergeCell ref="AQ41:AU41"/>
    <mergeCell ref="A42:B42"/>
    <mergeCell ref="C42:E42"/>
    <mergeCell ref="F42:G42"/>
    <mergeCell ref="L42:M42"/>
    <mergeCell ref="R42:S42"/>
    <mergeCell ref="V42:W42"/>
    <mergeCell ref="X42:Y42"/>
    <mergeCell ref="Z42:AA42"/>
    <mergeCell ref="AG42:AH42"/>
    <mergeCell ref="AK42:AL42"/>
    <mergeCell ref="AM42:AN42"/>
    <mergeCell ref="AO42:AP42"/>
    <mergeCell ref="AQ42:AU42"/>
    <mergeCell ref="A43:B43"/>
    <mergeCell ref="C43:E43"/>
    <mergeCell ref="F43:G43"/>
    <mergeCell ref="L43:M43"/>
    <mergeCell ref="R43:S43"/>
    <mergeCell ref="V43:W43"/>
    <mergeCell ref="X43:Y43"/>
    <mergeCell ref="Z43:AA43"/>
    <mergeCell ref="AG43:AH43"/>
    <mergeCell ref="AK43:AL43"/>
    <mergeCell ref="AM43:AN43"/>
    <mergeCell ref="AO43:AP43"/>
    <mergeCell ref="AQ43:AU43"/>
    <mergeCell ref="A44:B44"/>
    <mergeCell ref="C44:E44"/>
    <mergeCell ref="F44:G44"/>
    <mergeCell ref="L44:M44"/>
    <mergeCell ref="R44:S44"/>
    <mergeCell ref="V44:W44"/>
    <mergeCell ref="X44:Y44"/>
    <mergeCell ref="Z44:AA44"/>
    <mergeCell ref="AG44:AH44"/>
    <mergeCell ref="AK44:AL44"/>
    <mergeCell ref="AM44:AN44"/>
    <mergeCell ref="AO44:AP44"/>
    <mergeCell ref="AQ44:AU44"/>
    <mergeCell ref="A45:B45"/>
    <mergeCell ref="C45:E45"/>
    <mergeCell ref="F45:G45"/>
    <mergeCell ref="L45:M45"/>
    <mergeCell ref="R45:S45"/>
    <mergeCell ref="V45:W45"/>
    <mergeCell ref="X45:Y45"/>
    <mergeCell ref="Z45:AA45"/>
    <mergeCell ref="AG45:AH45"/>
    <mergeCell ref="AK45:AL45"/>
    <mergeCell ref="AM45:AN45"/>
    <mergeCell ref="AO45:AP45"/>
    <mergeCell ref="AQ45:AU45"/>
    <mergeCell ref="A46:B46"/>
    <mergeCell ref="C46:E46"/>
    <mergeCell ref="F46:G46"/>
    <mergeCell ref="L46:M46"/>
    <mergeCell ref="R46:S46"/>
    <mergeCell ref="V46:W46"/>
    <mergeCell ref="X46:Y46"/>
    <mergeCell ref="Z46:AA46"/>
    <mergeCell ref="AG46:AH46"/>
    <mergeCell ref="AK46:AL46"/>
    <mergeCell ref="AM46:AN46"/>
    <mergeCell ref="AO46:AP46"/>
    <mergeCell ref="AQ46:AU46"/>
    <mergeCell ref="A47:B47"/>
    <mergeCell ref="C47:E47"/>
    <mergeCell ref="F47:G47"/>
    <mergeCell ref="L47:M47"/>
    <mergeCell ref="R47:S47"/>
    <mergeCell ref="V47:W47"/>
    <mergeCell ref="X47:Y47"/>
    <mergeCell ref="Z47:AA47"/>
    <mergeCell ref="AG47:AH47"/>
    <mergeCell ref="AK47:AL47"/>
    <mergeCell ref="AM47:AN47"/>
    <mergeCell ref="AO47:AP47"/>
    <mergeCell ref="AQ47:AU47"/>
    <mergeCell ref="A48:B48"/>
    <mergeCell ref="C48:E48"/>
    <mergeCell ref="F48:G48"/>
    <mergeCell ref="L48:M48"/>
    <mergeCell ref="R48:S48"/>
    <mergeCell ref="V48:W48"/>
    <mergeCell ref="X48:Y48"/>
    <mergeCell ref="Z48:AA48"/>
    <mergeCell ref="AG48:AH48"/>
    <mergeCell ref="AK48:AL48"/>
    <mergeCell ref="AM48:AN48"/>
    <mergeCell ref="AO48:AP48"/>
    <mergeCell ref="AQ48:AU48"/>
    <mergeCell ref="AW48:AY48"/>
    <mergeCell ref="A49:B49"/>
    <mergeCell ref="C49:E49"/>
    <mergeCell ref="F49:G49"/>
    <mergeCell ref="L49:M49"/>
    <mergeCell ref="R49:S49"/>
    <mergeCell ref="V49:W49"/>
    <mergeCell ref="X49:Y49"/>
    <mergeCell ref="Z49:AA49"/>
    <mergeCell ref="AG49:AH49"/>
    <mergeCell ref="AK49:AL49"/>
    <mergeCell ref="AM49:AN49"/>
    <mergeCell ref="AO49:AP49"/>
    <mergeCell ref="AQ49:AU49"/>
    <mergeCell ref="A50:B50"/>
    <mergeCell ref="C50:E50"/>
    <mergeCell ref="F50:G50"/>
    <mergeCell ref="L50:M50"/>
    <mergeCell ref="R50:S50"/>
    <mergeCell ref="V50:W50"/>
    <mergeCell ref="X50:Y50"/>
    <mergeCell ref="Z50:AA50"/>
    <mergeCell ref="AG50:AH50"/>
    <mergeCell ref="AK50:AL50"/>
    <mergeCell ref="AM50:AN50"/>
    <mergeCell ref="AO50:AP50"/>
    <mergeCell ref="AQ50:AU50"/>
    <mergeCell ref="A51:X51"/>
    <mergeCell ref="Z51:AK51"/>
    <mergeCell ref="AM51:AO52"/>
    <mergeCell ref="AP51:AQ52"/>
    <mergeCell ref="AR51:AU51"/>
    <mergeCell ref="A52:X55"/>
    <mergeCell ref="Z52:AK53"/>
    <mergeCell ref="AT52:AU52"/>
    <mergeCell ref="AM53:AQ54"/>
    <mergeCell ref="AR53:AR54"/>
    <mergeCell ref="AS53:AS54"/>
    <mergeCell ref="AT53:AU54"/>
    <mergeCell ref="Z54:AK55"/>
    <mergeCell ref="AM55:AO56"/>
    <mergeCell ref="AP55:AQ56"/>
    <mergeCell ref="AR55:AR58"/>
    <mergeCell ref="AS55:AS58"/>
    <mergeCell ref="AT55:AU58"/>
    <mergeCell ref="B56:F58"/>
    <mergeCell ref="G56:S57"/>
    <mergeCell ref="T56:V58"/>
    <mergeCell ref="Z56:AK57"/>
    <mergeCell ref="AM57:AQ58"/>
    <mergeCell ref="G58:S58"/>
    <mergeCell ref="Z58:AK61"/>
    <mergeCell ref="B59:F60"/>
    <mergeCell ref="G59:S59"/>
    <mergeCell ref="AM59:AQ59"/>
    <mergeCell ref="G60:S60"/>
    <mergeCell ref="AM60:AQ60"/>
    <mergeCell ref="B61:F62"/>
    <mergeCell ref="G61:S61"/>
    <mergeCell ref="T61:V62"/>
    <mergeCell ref="AM61:AQ61"/>
    <mergeCell ref="AR63:AR64"/>
    <mergeCell ref="AS63:AS64"/>
    <mergeCell ref="AT63:AU64"/>
    <mergeCell ref="AR59:AR60"/>
    <mergeCell ref="AS59:AS60"/>
    <mergeCell ref="AT59:AU60"/>
    <mergeCell ref="AR61:AR62"/>
    <mergeCell ref="AS67:AS68"/>
    <mergeCell ref="AT67:AU68"/>
    <mergeCell ref="B68:X71"/>
    <mergeCell ref="AS61:AS62"/>
    <mergeCell ref="AT61:AU62"/>
    <mergeCell ref="G62:S62"/>
    <mergeCell ref="Z62:AK62"/>
    <mergeCell ref="AM62:AQ62"/>
    <mergeCell ref="Z63:AK67"/>
    <mergeCell ref="AM63:AQ64"/>
    <mergeCell ref="AR71:AR72"/>
    <mergeCell ref="AS71:AS72"/>
    <mergeCell ref="AT71:AU72"/>
    <mergeCell ref="A64:X67"/>
    <mergeCell ref="AM65:AQ65"/>
    <mergeCell ref="AT65:AU65"/>
    <mergeCell ref="AM66:AQ66"/>
    <mergeCell ref="AT66:AU66"/>
    <mergeCell ref="AM67:AQ68"/>
    <mergeCell ref="AR67:AR68"/>
    <mergeCell ref="AN78:AU79"/>
    <mergeCell ref="Z79:AK80"/>
    <mergeCell ref="AM80:AU81"/>
    <mergeCell ref="Z68:AK69"/>
    <mergeCell ref="AM69:AQ70"/>
    <mergeCell ref="AR69:AR70"/>
    <mergeCell ref="AS69:AS70"/>
    <mergeCell ref="AT69:AU70"/>
    <mergeCell ref="Z70:AK73"/>
    <mergeCell ref="AM71:AQ72"/>
    <mergeCell ref="Z82:AK82"/>
    <mergeCell ref="AN82:AT82"/>
    <mergeCell ref="Z83:AK83"/>
    <mergeCell ref="AN83:AU83"/>
    <mergeCell ref="Z74:AK74"/>
    <mergeCell ref="AM74:AU75"/>
    <mergeCell ref="Z75:AK76"/>
    <mergeCell ref="AN76:AU77"/>
    <mergeCell ref="Z77:AK77"/>
    <mergeCell ref="Z78:AK78"/>
  </mergeCells>
  <pageMargins left="0.27777777777777779" right="0.27777777777777779" top="0.27777777777777779" bottom="0.27777777777777779" header="0" footer="0"/>
  <pageSetup paperSize="9" firstPageNumber="0" fitToWidth="0" fitToHeight="0" pageOrder="overThenDown" orientation="landscape"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A9017-D37C-44C9-8A7A-E08E2AE62BF6}">
  <sheetPr>
    <tabColor theme="1"/>
  </sheetPr>
  <dimension ref="A1:AY83"/>
  <sheetViews>
    <sheetView zoomScaleNormal="100" workbookViewId="0">
      <selection activeCell="AV58" sqref="AV58"/>
    </sheetView>
  </sheetViews>
  <sheetFormatPr defaultColWidth="8.7109375" defaultRowHeight="12.75"/>
  <cols>
    <col min="1" max="1" width="1.7109375" style="36" bestFit="1" customWidth="1"/>
    <col min="2" max="2" width="1.28515625" style="36" bestFit="1" customWidth="1"/>
    <col min="3" max="3" width="14.140625" style="36" bestFit="1" customWidth="1"/>
    <col min="4" max="4" width="8.7109375" style="36" bestFit="1" customWidth="1"/>
    <col min="5" max="5" width="0.28515625" style="36" bestFit="1" customWidth="1"/>
    <col min="6" max="6" width="0.7109375" style="36" bestFit="1" customWidth="1"/>
    <col min="7" max="7" width="2" style="36" bestFit="1" customWidth="1"/>
    <col min="8" max="8" width="3.28515625" style="36" customWidth="1"/>
    <col min="9" max="9" width="3.42578125" style="36" customWidth="1"/>
    <col min="10" max="11" width="3.140625" style="36" customWidth="1"/>
    <col min="12" max="12" width="2.5703125" style="36" bestFit="1" customWidth="1"/>
    <col min="13" max="13" width="0.28515625" style="36" bestFit="1" customWidth="1"/>
    <col min="14" max="14" width="3.140625" style="36" customWidth="1"/>
    <col min="15" max="15" width="3" style="36" customWidth="1"/>
    <col min="16" max="16" width="3.140625" style="36" customWidth="1"/>
    <col min="17" max="17" width="3.42578125" style="36" customWidth="1"/>
    <col min="18" max="18" width="0.7109375" style="36" bestFit="1" customWidth="1"/>
    <col min="19" max="19" width="2" style="36" bestFit="1" customWidth="1"/>
    <col min="20" max="21" width="3.28515625" style="36" customWidth="1"/>
    <col min="22" max="22" width="0.7109375" style="36" bestFit="1" customWidth="1"/>
    <col min="23" max="23" width="2.28515625" style="36" bestFit="1" customWidth="1"/>
    <col min="24" max="24" width="1.28515625" style="36" bestFit="1" customWidth="1"/>
    <col min="25" max="26" width="1.7109375" style="36" bestFit="1" customWidth="1"/>
    <col min="27" max="27" width="1.28515625" style="36" bestFit="1" customWidth="1"/>
    <col min="28" max="29" width="3" style="36" customWidth="1"/>
    <col min="30" max="31" width="2.85546875" style="36" customWidth="1"/>
    <col min="32" max="32" width="3.28515625" style="36" customWidth="1"/>
    <col min="33" max="33" width="2.7109375" style="36" bestFit="1" customWidth="1"/>
    <col min="34" max="34" width="0.28515625" style="36" bestFit="1" customWidth="1"/>
    <col min="35" max="36" width="3.28515625" style="36" customWidth="1"/>
    <col min="37" max="37" width="1.28515625" style="36" bestFit="1" customWidth="1"/>
    <col min="38" max="39" width="1.7109375" style="36" bestFit="1" customWidth="1"/>
    <col min="40" max="40" width="4.28515625" style="36" customWidth="1"/>
    <col min="41" max="41" width="5" style="36" bestFit="1" customWidth="1"/>
    <col min="42" max="42" width="1.7109375" style="36" bestFit="1" customWidth="1"/>
    <col min="43" max="43" width="9.28515625" style="36" customWidth="1"/>
    <col min="44" max="44" width="5.7109375" style="36" customWidth="1"/>
    <col min="45" max="45" width="5" style="36" customWidth="1"/>
    <col min="46" max="46" width="6.7109375" style="36" bestFit="1" customWidth="1"/>
    <col min="47" max="47" width="0.28515625" style="36" bestFit="1" customWidth="1"/>
    <col min="48" max="16384" width="8.7109375" style="36"/>
  </cols>
  <sheetData>
    <row r="1" spans="1:51" ht="30" customHeight="1">
      <c r="A1" s="291" t="s">
        <v>0</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row>
    <row r="2" spans="1:51" ht="19.899999999999999" customHeight="1">
      <c r="A2" s="292" t="s">
        <v>1</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row>
    <row r="3" spans="1:51" ht="19.899999999999999" customHeight="1" thickBot="1">
      <c r="A3" s="287" t="s">
        <v>2</v>
      </c>
      <c r="B3" s="72"/>
      <c r="C3" s="72"/>
      <c r="D3" s="72"/>
      <c r="E3" s="1"/>
      <c r="F3" s="284">
        <v>132839</v>
      </c>
      <c r="G3" s="285"/>
      <c r="H3" s="285"/>
      <c r="I3" s="286"/>
      <c r="J3" s="287" t="s">
        <v>3</v>
      </c>
      <c r="K3" s="72"/>
      <c r="L3" s="72"/>
      <c r="M3" s="284" t="s">
        <v>79</v>
      </c>
      <c r="N3" s="285"/>
      <c r="O3" s="285"/>
      <c r="P3" s="285"/>
      <c r="Q3" s="285"/>
      <c r="R3" s="286"/>
      <c r="S3" s="287" t="s">
        <v>4</v>
      </c>
      <c r="T3" s="72"/>
      <c r="U3" s="72"/>
      <c r="V3" s="72"/>
      <c r="W3" s="72"/>
      <c r="X3" s="72"/>
      <c r="Y3" s="72"/>
      <c r="Z3" s="72"/>
      <c r="AA3" s="284" t="s">
        <v>94</v>
      </c>
      <c r="AB3" s="285"/>
      <c r="AC3" s="285"/>
      <c r="AD3" s="285"/>
      <c r="AE3" s="285"/>
      <c r="AF3" s="285"/>
      <c r="AG3" s="286"/>
      <c r="AH3" s="1"/>
      <c r="AI3" s="1"/>
      <c r="AJ3" s="1"/>
      <c r="AK3" s="1"/>
      <c r="AL3" s="1"/>
      <c r="AM3" s="1"/>
      <c r="AN3" s="1"/>
      <c r="AO3" s="1"/>
      <c r="AP3" s="1"/>
      <c r="AQ3" s="1"/>
      <c r="AR3" s="1"/>
      <c r="AS3" s="1"/>
      <c r="AT3" s="1"/>
      <c r="AU3" s="1"/>
    </row>
    <row r="4" spans="1:51" ht="19.899999999999999" customHeight="1" thickBot="1">
      <c r="A4" s="287" t="s">
        <v>6</v>
      </c>
      <c r="B4" s="72"/>
      <c r="C4" s="72"/>
      <c r="D4" s="72"/>
      <c r="E4" s="1"/>
      <c r="F4" s="284" t="s">
        <v>123</v>
      </c>
      <c r="G4" s="285"/>
      <c r="H4" s="285"/>
      <c r="I4" s="285"/>
      <c r="J4" s="285"/>
      <c r="K4" s="285"/>
      <c r="L4" s="285"/>
      <c r="M4" s="285"/>
      <c r="N4" s="285"/>
      <c r="O4" s="285"/>
      <c r="P4" s="285"/>
      <c r="Q4" s="285"/>
      <c r="R4" s="286"/>
      <c r="S4" s="287" t="s">
        <v>7</v>
      </c>
      <c r="T4" s="72"/>
      <c r="U4" s="72"/>
      <c r="V4" s="72"/>
      <c r="W4" s="72"/>
      <c r="X4" s="72"/>
      <c r="Y4" s="72"/>
      <c r="Z4" s="72"/>
      <c r="AA4" s="284" t="s">
        <v>124</v>
      </c>
      <c r="AB4" s="285"/>
      <c r="AC4" s="285"/>
      <c r="AD4" s="285"/>
      <c r="AE4" s="285"/>
      <c r="AF4" s="285"/>
      <c r="AG4" s="286"/>
      <c r="AH4" s="1"/>
      <c r="AI4" s="287" t="s">
        <v>8</v>
      </c>
      <c r="AJ4" s="72"/>
      <c r="AK4" s="72"/>
      <c r="AL4" s="72"/>
      <c r="AM4" s="284" t="s">
        <v>129</v>
      </c>
      <c r="AN4" s="285"/>
      <c r="AO4" s="285"/>
      <c r="AP4" s="285"/>
      <c r="AQ4" s="285"/>
      <c r="AR4" s="285"/>
      <c r="AS4" s="285"/>
      <c r="AT4" s="285"/>
      <c r="AU4" s="286"/>
      <c r="AW4" s="288" t="s">
        <v>73</v>
      </c>
      <c r="AX4" s="289"/>
      <c r="AY4" s="290"/>
    </row>
    <row r="5" spans="1:51" ht="10.15" customHeight="1">
      <c r="A5" s="259" t="s">
        <v>9</v>
      </c>
      <c r="B5" s="260"/>
      <c r="C5" s="259" t="s">
        <v>10</v>
      </c>
      <c r="D5" s="265"/>
      <c r="E5" s="260"/>
      <c r="F5" s="267" t="s">
        <v>11</v>
      </c>
      <c r="G5" s="268"/>
      <c r="H5" s="268"/>
      <c r="I5" s="268"/>
      <c r="J5" s="268"/>
      <c r="K5" s="268"/>
      <c r="L5" s="268"/>
      <c r="M5" s="268"/>
      <c r="N5" s="268"/>
      <c r="O5" s="268"/>
      <c r="P5" s="268"/>
      <c r="Q5" s="268"/>
      <c r="R5" s="268"/>
      <c r="S5" s="268"/>
      <c r="T5" s="268"/>
      <c r="U5" s="268"/>
      <c r="V5" s="268"/>
      <c r="W5" s="268"/>
      <c r="X5" s="268"/>
      <c r="Y5" s="268"/>
      <c r="Z5" s="268"/>
      <c r="AA5" s="268"/>
      <c r="AB5" s="268"/>
      <c r="AC5" s="268"/>
      <c r="AD5" s="268"/>
      <c r="AE5" s="268"/>
      <c r="AF5" s="268"/>
      <c r="AG5" s="268"/>
      <c r="AH5" s="268"/>
      <c r="AI5" s="268"/>
      <c r="AJ5" s="268"/>
      <c r="AK5" s="268"/>
      <c r="AL5" s="269"/>
      <c r="AM5" s="270" t="s">
        <v>12</v>
      </c>
      <c r="AN5" s="271"/>
      <c r="AO5" s="271"/>
      <c r="AP5" s="272"/>
      <c r="AQ5" s="276" t="s">
        <v>13</v>
      </c>
      <c r="AR5" s="277"/>
      <c r="AS5" s="277"/>
      <c r="AT5" s="277"/>
      <c r="AU5" s="278"/>
      <c r="AW5" s="281">
        <v>23</v>
      </c>
      <c r="AX5" s="282"/>
      <c r="AY5" s="283"/>
    </row>
    <row r="6" spans="1:51" ht="15" customHeight="1" thickBot="1">
      <c r="A6" s="261"/>
      <c r="B6" s="262"/>
      <c r="C6" s="261"/>
      <c r="D6" s="72"/>
      <c r="E6" s="262"/>
      <c r="F6" s="257"/>
      <c r="G6" s="256"/>
      <c r="H6" s="9"/>
      <c r="I6" s="9">
        <v>1</v>
      </c>
      <c r="J6" s="9">
        <v>2</v>
      </c>
      <c r="K6" s="9">
        <v>3</v>
      </c>
      <c r="L6" s="257">
        <v>6</v>
      </c>
      <c r="M6" s="256"/>
      <c r="N6" s="9">
        <v>7</v>
      </c>
      <c r="O6" s="9">
        <v>8</v>
      </c>
      <c r="P6" s="9">
        <v>9</v>
      </c>
      <c r="Q6" s="9">
        <v>10</v>
      </c>
      <c r="R6" s="257">
        <v>13</v>
      </c>
      <c r="S6" s="256"/>
      <c r="T6" s="9">
        <v>14</v>
      </c>
      <c r="U6" s="9">
        <v>15</v>
      </c>
      <c r="V6" s="255">
        <v>16</v>
      </c>
      <c r="W6" s="256"/>
      <c r="X6" s="255">
        <v>17</v>
      </c>
      <c r="Y6" s="256"/>
      <c r="Z6" s="257">
        <v>20</v>
      </c>
      <c r="AA6" s="256"/>
      <c r="AB6" s="9">
        <v>21</v>
      </c>
      <c r="AC6" s="9">
        <v>22</v>
      </c>
      <c r="AD6" s="9">
        <v>23</v>
      </c>
      <c r="AE6" s="9">
        <v>24</v>
      </c>
      <c r="AF6" s="10">
        <v>27</v>
      </c>
      <c r="AG6" s="255">
        <v>28</v>
      </c>
      <c r="AH6" s="256"/>
      <c r="AI6" s="9">
        <v>29</v>
      </c>
      <c r="AJ6" s="9">
        <v>30</v>
      </c>
      <c r="AK6" s="255">
        <v>31</v>
      </c>
      <c r="AL6" s="256"/>
      <c r="AM6" s="273"/>
      <c r="AN6" s="274"/>
      <c r="AO6" s="274"/>
      <c r="AP6" s="275"/>
      <c r="AQ6" s="87"/>
      <c r="AR6" s="72"/>
      <c r="AS6" s="72"/>
      <c r="AT6" s="72"/>
      <c r="AU6" s="279"/>
      <c r="AW6" s="281"/>
      <c r="AX6" s="282"/>
      <c r="AY6" s="283"/>
    </row>
    <row r="7" spans="1:51" ht="15" customHeight="1" thickBot="1">
      <c r="A7" s="263"/>
      <c r="B7" s="264"/>
      <c r="C7" s="263"/>
      <c r="D7" s="266"/>
      <c r="E7" s="264"/>
      <c r="F7" s="258" t="s">
        <v>14</v>
      </c>
      <c r="G7" s="252"/>
      <c r="H7" s="13" t="s">
        <v>15</v>
      </c>
      <c r="I7" s="13" t="s">
        <v>16</v>
      </c>
      <c r="J7" s="13" t="s">
        <v>17</v>
      </c>
      <c r="K7" s="13" t="s">
        <v>18</v>
      </c>
      <c r="L7" s="258" t="s">
        <v>14</v>
      </c>
      <c r="M7" s="252"/>
      <c r="N7" s="13" t="s">
        <v>15</v>
      </c>
      <c r="O7" s="13" t="s">
        <v>16</v>
      </c>
      <c r="P7" s="13" t="s">
        <v>17</v>
      </c>
      <c r="Q7" s="13" t="s">
        <v>18</v>
      </c>
      <c r="R7" s="258" t="s">
        <v>14</v>
      </c>
      <c r="S7" s="252"/>
      <c r="T7" s="13" t="s">
        <v>15</v>
      </c>
      <c r="U7" s="13" t="s">
        <v>16</v>
      </c>
      <c r="V7" s="251" t="s">
        <v>17</v>
      </c>
      <c r="W7" s="252"/>
      <c r="X7" s="251" t="s">
        <v>18</v>
      </c>
      <c r="Y7" s="252"/>
      <c r="Z7" s="258" t="s">
        <v>14</v>
      </c>
      <c r="AA7" s="252"/>
      <c r="AB7" s="13" t="s">
        <v>15</v>
      </c>
      <c r="AC7" s="13" t="s">
        <v>16</v>
      </c>
      <c r="AD7" s="13" t="s">
        <v>17</v>
      </c>
      <c r="AE7" s="13" t="s">
        <v>18</v>
      </c>
      <c r="AF7" s="14" t="s">
        <v>14</v>
      </c>
      <c r="AG7" s="251" t="s">
        <v>15</v>
      </c>
      <c r="AH7" s="252"/>
      <c r="AI7" s="13" t="s">
        <v>16</v>
      </c>
      <c r="AJ7" s="13" t="s">
        <v>17</v>
      </c>
      <c r="AK7" s="251" t="s">
        <v>18</v>
      </c>
      <c r="AL7" s="252"/>
      <c r="AM7" s="253" t="s">
        <v>19</v>
      </c>
      <c r="AN7" s="254"/>
      <c r="AO7" s="253" t="s">
        <v>20</v>
      </c>
      <c r="AP7" s="254"/>
      <c r="AQ7" s="90"/>
      <c r="AR7" s="91"/>
      <c r="AS7" s="91"/>
      <c r="AT7" s="91"/>
      <c r="AU7" s="280"/>
      <c r="AW7" s="8"/>
      <c r="AY7" s="7"/>
    </row>
    <row r="8" spans="1:51" ht="19.899999999999999" customHeight="1">
      <c r="A8" s="220">
        <v>1</v>
      </c>
      <c r="B8" s="221"/>
      <c r="C8" s="231" t="s">
        <v>96</v>
      </c>
      <c r="D8" s="232"/>
      <c r="E8" s="233"/>
      <c r="F8" s="230"/>
      <c r="G8" s="228"/>
      <c r="H8" s="9"/>
      <c r="I8" s="9"/>
      <c r="J8" s="9"/>
      <c r="K8" s="11"/>
      <c r="L8" s="230"/>
      <c r="M8" s="228"/>
      <c r="N8" s="9"/>
      <c r="O8" s="9"/>
      <c r="P8" s="9"/>
      <c r="Q8" s="11"/>
      <c r="R8" s="230"/>
      <c r="S8" s="228"/>
      <c r="T8" s="9"/>
      <c r="U8" s="9"/>
      <c r="V8" s="227"/>
      <c r="W8" s="228"/>
      <c r="X8" s="227"/>
      <c r="Y8" s="229"/>
      <c r="Z8" s="230"/>
      <c r="AA8" s="228"/>
      <c r="AB8" s="9" t="s">
        <v>132</v>
      </c>
      <c r="AC8" s="9"/>
      <c r="AD8" s="9"/>
      <c r="AE8" s="11"/>
      <c r="AF8" s="10"/>
      <c r="AG8" s="227"/>
      <c r="AH8" s="228"/>
      <c r="AI8" s="9"/>
      <c r="AJ8" s="9"/>
      <c r="AK8" s="227" t="s">
        <v>5</v>
      </c>
      <c r="AL8" s="229"/>
      <c r="AM8" s="212">
        <f t="shared" ref="AM8:AM28" si="0">COUNTIF(F8:AL8,"X")</f>
        <v>1</v>
      </c>
      <c r="AN8" s="213"/>
      <c r="AO8" s="212">
        <f t="shared" ref="AO8:AO28" si="1">$AW$5-AM8</f>
        <v>22</v>
      </c>
      <c r="AP8" s="213"/>
      <c r="AQ8" s="214" t="s">
        <v>5</v>
      </c>
      <c r="AR8" s="215"/>
      <c r="AS8" s="215"/>
      <c r="AT8" s="215"/>
      <c r="AU8" s="216"/>
      <c r="AW8" s="8"/>
      <c r="AY8" s="7"/>
    </row>
    <row r="9" spans="1:51" ht="19.899999999999999" customHeight="1">
      <c r="A9" s="220">
        <v>2</v>
      </c>
      <c r="B9" s="221"/>
      <c r="C9" s="231" t="s">
        <v>97</v>
      </c>
      <c r="D9" s="232"/>
      <c r="E9" s="233"/>
      <c r="F9" s="230"/>
      <c r="G9" s="228"/>
      <c r="H9" s="9"/>
      <c r="I9" s="9"/>
      <c r="J9" s="9"/>
      <c r="K9" s="11"/>
      <c r="L9" s="230"/>
      <c r="M9" s="228"/>
      <c r="N9" s="9"/>
      <c r="O9" s="9"/>
      <c r="P9" s="9"/>
      <c r="Q9" s="11"/>
      <c r="R9" s="230"/>
      <c r="S9" s="228"/>
      <c r="T9" s="9"/>
      <c r="U9" s="9"/>
      <c r="V9" s="227"/>
      <c r="W9" s="228"/>
      <c r="X9" s="227"/>
      <c r="Y9" s="229"/>
      <c r="Z9" s="230"/>
      <c r="AA9" s="228"/>
      <c r="AB9" s="9"/>
      <c r="AC9" s="9"/>
      <c r="AD9" s="9"/>
      <c r="AE9" s="11"/>
      <c r="AF9" s="10"/>
      <c r="AG9" s="227"/>
      <c r="AH9" s="228"/>
      <c r="AI9" s="9"/>
      <c r="AJ9" s="9"/>
      <c r="AK9" s="227"/>
      <c r="AL9" s="229"/>
      <c r="AM9" s="212">
        <f t="shared" si="0"/>
        <v>0</v>
      </c>
      <c r="AN9" s="213"/>
      <c r="AO9" s="212">
        <f t="shared" si="1"/>
        <v>23</v>
      </c>
      <c r="AP9" s="213"/>
      <c r="AQ9" s="214" t="s">
        <v>5</v>
      </c>
      <c r="AR9" s="215"/>
      <c r="AS9" s="215"/>
      <c r="AT9" s="215"/>
      <c r="AU9" s="216"/>
      <c r="AW9" s="8"/>
      <c r="AY9" s="7"/>
    </row>
    <row r="10" spans="1:51" ht="19.899999999999999" customHeight="1">
      <c r="A10" s="220">
        <v>3</v>
      </c>
      <c r="B10" s="221"/>
      <c r="C10" s="231" t="s">
        <v>98</v>
      </c>
      <c r="D10" s="232"/>
      <c r="E10" s="233"/>
      <c r="F10" s="230"/>
      <c r="G10" s="228"/>
      <c r="H10" s="9"/>
      <c r="I10" s="9"/>
      <c r="J10" s="9"/>
      <c r="K10" s="11"/>
      <c r="L10" s="230"/>
      <c r="M10" s="228"/>
      <c r="N10" s="9"/>
      <c r="O10" s="9"/>
      <c r="P10" s="9"/>
      <c r="Q10" s="11"/>
      <c r="R10" s="230"/>
      <c r="S10" s="228"/>
      <c r="T10" s="9"/>
      <c r="U10" s="9"/>
      <c r="V10" s="227"/>
      <c r="W10" s="228"/>
      <c r="X10" s="227"/>
      <c r="Y10" s="229"/>
      <c r="Z10" s="230"/>
      <c r="AA10" s="228"/>
      <c r="AB10" s="9"/>
      <c r="AC10" s="9"/>
      <c r="AD10" s="9"/>
      <c r="AE10" s="11"/>
      <c r="AF10" s="10"/>
      <c r="AG10" s="227"/>
      <c r="AH10" s="228"/>
      <c r="AI10" s="9"/>
      <c r="AJ10" s="9"/>
      <c r="AK10" s="227"/>
      <c r="AL10" s="229"/>
      <c r="AM10" s="212">
        <f t="shared" si="0"/>
        <v>0</v>
      </c>
      <c r="AN10" s="213"/>
      <c r="AO10" s="212">
        <f t="shared" si="1"/>
        <v>23</v>
      </c>
      <c r="AP10" s="213"/>
      <c r="AQ10" s="214" t="s">
        <v>5</v>
      </c>
      <c r="AR10" s="215"/>
      <c r="AS10" s="215"/>
      <c r="AT10" s="215"/>
      <c r="AU10" s="216"/>
      <c r="AW10" s="8"/>
      <c r="AY10" s="7"/>
    </row>
    <row r="11" spans="1:51" ht="19.899999999999999" customHeight="1">
      <c r="A11" s="220">
        <v>4</v>
      </c>
      <c r="B11" s="221"/>
      <c r="C11" s="231" t="s">
        <v>99</v>
      </c>
      <c r="D11" s="232"/>
      <c r="E11" s="233"/>
      <c r="F11" s="230"/>
      <c r="G11" s="228"/>
      <c r="H11" s="9"/>
      <c r="I11" s="9"/>
      <c r="J11" s="9"/>
      <c r="K11" s="11"/>
      <c r="L11" s="230"/>
      <c r="M11" s="228"/>
      <c r="N11" s="9"/>
      <c r="O11" s="9"/>
      <c r="P11" s="9"/>
      <c r="Q11" s="11"/>
      <c r="R11" s="230"/>
      <c r="S11" s="228"/>
      <c r="T11" s="9" t="s">
        <v>132</v>
      </c>
      <c r="U11" s="9" t="s">
        <v>132</v>
      </c>
      <c r="V11" s="227" t="s">
        <v>132</v>
      </c>
      <c r="W11" s="228"/>
      <c r="X11" s="227"/>
      <c r="Y11" s="229"/>
      <c r="Z11" s="230"/>
      <c r="AA11" s="228"/>
      <c r="AB11" s="9" t="s">
        <v>132</v>
      </c>
      <c r="AC11" s="9"/>
      <c r="AD11" s="9"/>
      <c r="AE11" s="11"/>
      <c r="AF11" s="10"/>
      <c r="AG11" s="227"/>
      <c r="AH11" s="228"/>
      <c r="AI11" s="9"/>
      <c r="AJ11" s="9"/>
      <c r="AK11" s="227"/>
      <c r="AL11" s="229"/>
      <c r="AM11" s="212">
        <f t="shared" si="0"/>
        <v>4</v>
      </c>
      <c r="AN11" s="213"/>
      <c r="AO11" s="212">
        <f t="shared" si="1"/>
        <v>19</v>
      </c>
      <c r="AP11" s="213"/>
      <c r="AQ11" s="214" t="s">
        <v>5</v>
      </c>
      <c r="AR11" s="215"/>
      <c r="AS11" s="215"/>
      <c r="AT11" s="215"/>
      <c r="AU11" s="216"/>
      <c r="AW11" s="8"/>
      <c r="AY11" s="7"/>
    </row>
    <row r="12" spans="1:51" ht="19.899999999999999" customHeight="1">
      <c r="A12" s="220">
        <v>5</v>
      </c>
      <c r="B12" s="221"/>
      <c r="C12" s="231" t="s">
        <v>100</v>
      </c>
      <c r="D12" s="232"/>
      <c r="E12" s="233"/>
      <c r="F12" s="230"/>
      <c r="G12" s="228"/>
      <c r="H12" s="9"/>
      <c r="I12" s="9"/>
      <c r="J12" s="9"/>
      <c r="K12" s="11"/>
      <c r="L12" s="230"/>
      <c r="M12" s="228"/>
      <c r="N12" s="9"/>
      <c r="O12" s="9"/>
      <c r="P12" s="9"/>
      <c r="Q12" s="11"/>
      <c r="R12" s="230"/>
      <c r="S12" s="228"/>
      <c r="T12" s="9" t="s">
        <v>132</v>
      </c>
      <c r="U12" s="9" t="s">
        <v>132</v>
      </c>
      <c r="V12" s="227"/>
      <c r="W12" s="228"/>
      <c r="X12" s="227"/>
      <c r="Y12" s="229"/>
      <c r="Z12" s="230" t="s">
        <v>132</v>
      </c>
      <c r="AA12" s="228"/>
      <c r="AB12" s="9" t="s">
        <v>132</v>
      </c>
      <c r="AC12" s="9"/>
      <c r="AD12" s="9"/>
      <c r="AE12" s="11"/>
      <c r="AF12" s="10"/>
      <c r="AG12" s="227"/>
      <c r="AH12" s="228"/>
      <c r="AI12" s="9"/>
      <c r="AJ12" s="9"/>
      <c r="AK12" s="227"/>
      <c r="AL12" s="229"/>
      <c r="AM12" s="212">
        <f t="shared" si="0"/>
        <v>4</v>
      </c>
      <c r="AN12" s="213"/>
      <c r="AO12" s="212">
        <f t="shared" si="1"/>
        <v>19</v>
      </c>
      <c r="AP12" s="213"/>
      <c r="AQ12" s="214" t="s">
        <v>5</v>
      </c>
      <c r="AR12" s="215"/>
      <c r="AS12" s="215"/>
      <c r="AT12" s="215"/>
      <c r="AU12" s="216"/>
      <c r="AW12" s="8"/>
      <c r="AY12" s="7"/>
    </row>
    <row r="13" spans="1:51" ht="19.899999999999999" customHeight="1">
      <c r="A13" s="220">
        <v>6</v>
      </c>
      <c r="B13" s="221"/>
      <c r="C13" s="231" t="s">
        <v>101</v>
      </c>
      <c r="D13" s="232"/>
      <c r="E13" s="233"/>
      <c r="F13" s="230"/>
      <c r="G13" s="228"/>
      <c r="H13" s="9"/>
      <c r="I13" s="9"/>
      <c r="J13" s="9"/>
      <c r="K13" s="11"/>
      <c r="L13" s="230"/>
      <c r="M13" s="228"/>
      <c r="N13" s="9"/>
      <c r="O13" s="9"/>
      <c r="P13" s="9"/>
      <c r="Q13" s="11"/>
      <c r="R13" s="230"/>
      <c r="S13" s="228"/>
      <c r="T13" s="9"/>
      <c r="U13" s="9"/>
      <c r="V13" s="227"/>
      <c r="W13" s="228"/>
      <c r="X13" s="227"/>
      <c r="Y13" s="229"/>
      <c r="Z13" s="230"/>
      <c r="AA13" s="228"/>
      <c r="AB13" s="9"/>
      <c r="AC13" s="9"/>
      <c r="AD13" s="9"/>
      <c r="AE13" s="11"/>
      <c r="AF13" s="10"/>
      <c r="AG13" s="227"/>
      <c r="AH13" s="228"/>
      <c r="AI13" s="9"/>
      <c r="AJ13" s="9"/>
      <c r="AK13" s="227"/>
      <c r="AL13" s="229"/>
      <c r="AM13" s="212">
        <f t="shared" si="0"/>
        <v>0</v>
      </c>
      <c r="AN13" s="213"/>
      <c r="AO13" s="212">
        <f t="shared" si="1"/>
        <v>23</v>
      </c>
      <c r="AP13" s="213"/>
      <c r="AQ13" s="214" t="s">
        <v>5</v>
      </c>
      <c r="AR13" s="215"/>
      <c r="AS13" s="215"/>
      <c r="AT13" s="215"/>
      <c r="AU13" s="216"/>
      <c r="AW13" s="8"/>
      <c r="AY13" s="7"/>
    </row>
    <row r="14" spans="1:51" ht="19.899999999999999" customHeight="1">
      <c r="A14" s="220">
        <v>7</v>
      </c>
      <c r="B14" s="221"/>
      <c r="C14" s="231" t="s">
        <v>102</v>
      </c>
      <c r="D14" s="232"/>
      <c r="E14" s="233"/>
      <c r="F14" s="230"/>
      <c r="G14" s="228"/>
      <c r="H14" s="9"/>
      <c r="I14" s="9"/>
      <c r="J14" s="9"/>
      <c r="K14" s="11"/>
      <c r="L14" s="230"/>
      <c r="M14" s="228"/>
      <c r="N14" s="9"/>
      <c r="O14" s="9"/>
      <c r="P14" s="9"/>
      <c r="Q14" s="11"/>
      <c r="R14" s="230"/>
      <c r="S14" s="228"/>
      <c r="T14" s="9"/>
      <c r="U14" s="9"/>
      <c r="V14" s="227"/>
      <c r="W14" s="228"/>
      <c r="X14" s="227"/>
      <c r="Y14" s="229"/>
      <c r="Z14" s="230"/>
      <c r="AA14" s="228"/>
      <c r="AB14" s="9"/>
      <c r="AC14" s="9"/>
      <c r="AD14" s="9"/>
      <c r="AE14" s="11"/>
      <c r="AF14" s="10"/>
      <c r="AG14" s="227"/>
      <c r="AH14" s="228"/>
      <c r="AI14" s="9"/>
      <c r="AJ14" s="9"/>
      <c r="AK14" s="227"/>
      <c r="AL14" s="229"/>
      <c r="AM14" s="212">
        <f t="shared" si="0"/>
        <v>0</v>
      </c>
      <c r="AN14" s="213"/>
      <c r="AO14" s="212">
        <f t="shared" si="1"/>
        <v>23</v>
      </c>
      <c r="AP14" s="213"/>
      <c r="AQ14" s="214" t="s">
        <v>5</v>
      </c>
      <c r="AR14" s="215"/>
      <c r="AS14" s="215"/>
      <c r="AT14" s="215"/>
      <c r="AU14" s="216"/>
      <c r="AW14" s="8"/>
      <c r="AY14" s="7"/>
    </row>
    <row r="15" spans="1:51" ht="19.899999999999999" customHeight="1">
      <c r="A15" s="220">
        <v>8</v>
      </c>
      <c r="B15" s="221"/>
      <c r="C15" s="231" t="s">
        <v>103</v>
      </c>
      <c r="D15" s="232"/>
      <c r="E15" s="233"/>
      <c r="F15" s="230"/>
      <c r="G15" s="228"/>
      <c r="H15" s="9"/>
      <c r="I15" s="9"/>
      <c r="J15" s="9"/>
      <c r="K15" s="11"/>
      <c r="L15" s="230"/>
      <c r="M15" s="228"/>
      <c r="N15" s="9"/>
      <c r="O15" s="9"/>
      <c r="P15" s="9"/>
      <c r="Q15" s="11"/>
      <c r="R15" s="230"/>
      <c r="S15" s="228"/>
      <c r="T15" s="9"/>
      <c r="U15" s="9"/>
      <c r="V15" s="227"/>
      <c r="W15" s="228"/>
      <c r="X15" s="227"/>
      <c r="Y15" s="229"/>
      <c r="Z15" s="230"/>
      <c r="AA15" s="228"/>
      <c r="AB15" s="9"/>
      <c r="AC15" s="9"/>
      <c r="AD15" s="9"/>
      <c r="AE15" s="11"/>
      <c r="AF15" s="10"/>
      <c r="AG15" s="227"/>
      <c r="AH15" s="228"/>
      <c r="AI15" s="9"/>
      <c r="AJ15" s="9"/>
      <c r="AK15" s="227"/>
      <c r="AL15" s="229"/>
      <c r="AM15" s="212">
        <f t="shared" si="0"/>
        <v>0</v>
      </c>
      <c r="AN15" s="213"/>
      <c r="AO15" s="212">
        <f t="shared" si="1"/>
        <v>23</v>
      </c>
      <c r="AP15" s="213"/>
      <c r="AQ15" s="214" t="s">
        <v>5</v>
      </c>
      <c r="AR15" s="215"/>
      <c r="AS15" s="215"/>
      <c r="AT15" s="215"/>
      <c r="AU15" s="216"/>
      <c r="AW15" s="8"/>
      <c r="AY15" s="7"/>
    </row>
    <row r="16" spans="1:51" ht="19.899999999999999" customHeight="1">
      <c r="A16" s="220">
        <v>9</v>
      </c>
      <c r="B16" s="221"/>
      <c r="C16" s="231" t="s">
        <v>104</v>
      </c>
      <c r="D16" s="232"/>
      <c r="E16" s="233"/>
      <c r="F16" s="230"/>
      <c r="G16" s="228"/>
      <c r="H16" s="9"/>
      <c r="I16" s="9"/>
      <c r="J16" s="9"/>
      <c r="K16" s="11"/>
      <c r="L16" s="230"/>
      <c r="M16" s="228"/>
      <c r="N16" s="9"/>
      <c r="O16" s="9"/>
      <c r="P16" s="9"/>
      <c r="Q16" s="11"/>
      <c r="R16" s="230"/>
      <c r="S16" s="228"/>
      <c r="T16" s="9"/>
      <c r="U16" s="9"/>
      <c r="V16" s="227"/>
      <c r="W16" s="228"/>
      <c r="X16" s="227"/>
      <c r="Y16" s="229"/>
      <c r="Z16" s="230"/>
      <c r="AA16" s="228"/>
      <c r="AB16" s="9"/>
      <c r="AC16" s="9"/>
      <c r="AD16" s="9"/>
      <c r="AE16" s="11"/>
      <c r="AF16" s="10"/>
      <c r="AG16" s="227"/>
      <c r="AH16" s="228"/>
      <c r="AI16" s="9"/>
      <c r="AJ16" s="9"/>
      <c r="AK16" s="227"/>
      <c r="AL16" s="229"/>
      <c r="AM16" s="212">
        <f t="shared" si="0"/>
        <v>0</v>
      </c>
      <c r="AN16" s="213"/>
      <c r="AO16" s="212">
        <f t="shared" si="1"/>
        <v>23</v>
      </c>
      <c r="AP16" s="213"/>
      <c r="AQ16" s="214" t="s">
        <v>5</v>
      </c>
      <c r="AR16" s="215"/>
      <c r="AS16" s="215"/>
      <c r="AT16" s="215"/>
      <c r="AU16" s="216"/>
      <c r="AW16" s="8"/>
      <c r="AY16" s="7"/>
    </row>
    <row r="17" spans="1:51" ht="19.899999999999999" customHeight="1">
      <c r="A17" s="220">
        <v>10</v>
      </c>
      <c r="B17" s="221"/>
      <c r="C17" s="231" t="s">
        <v>105</v>
      </c>
      <c r="D17" s="232"/>
      <c r="E17" s="233"/>
      <c r="F17" s="230"/>
      <c r="G17" s="228"/>
      <c r="H17" s="9"/>
      <c r="I17" s="9"/>
      <c r="J17" s="9"/>
      <c r="K17" s="11"/>
      <c r="L17" s="230"/>
      <c r="M17" s="228"/>
      <c r="N17" s="9"/>
      <c r="O17" s="9"/>
      <c r="P17" s="9"/>
      <c r="Q17" s="11"/>
      <c r="R17" s="230"/>
      <c r="S17" s="228"/>
      <c r="T17" s="9"/>
      <c r="U17" s="9"/>
      <c r="V17" s="227"/>
      <c r="W17" s="228"/>
      <c r="X17" s="227"/>
      <c r="Y17" s="229"/>
      <c r="Z17" s="230"/>
      <c r="AA17" s="228"/>
      <c r="AB17" s="9"/>
      <c r="AC17" s="9"/>
      <c r="AD17" s="9"/>
      <c r="AE17" s="11"/>
      <c r="AF17" s="10"/>
      <c r="AG17" s="227"/>
      <c r="AH17" s="228"/>
      <c r="AI17" s="9"/>
      <c r="AJ17" s="9"/>
      <c r="AK17" s="227"/>
      <c r="AL17" s="229"/>
      <c r="AM17" s="212">
        <f t="shared" si="0"/>
        <v>0</v>
      </c>
      <c r="AN17" s="213"/>
      <c r="AO17" s="212">
        <f t="shared" si="1"/>
        <v>23</v>
      </c>
      <c r="AP17" s="213"/>
      <c r="AQ17" s="214" t="s">
        <v>5</v>
      </c>
      <c r="AR17" s="215"/>
      <c r="AS17" s="215"/>
      <c r="AT17" s="215"/>
      <c r="AU17" s="216"/>
      <c r="AW17" s="8"/>
      <c r="AY17" s="7"/>
    </row>
    <row r="18" spans="1:51" ht="19.899999999999999" customHeight="1">
      <c r="A18" s="220">
        <v>11</v>
      </c>
      <c r="B18" s="221"/>
      <c r="C18" s="231" t="s">
        <v>106</v>
      </c>
      <c r="D18" s="232"/>
      <c r="E18" s="233"/>
      <c r="F18" s="230"/>
      <c r="G18" s="228"/>
      <c r="H18" s="9"/>
      <c r="I18" s="9" t="s">
        <v>5</v>
      </c>
      <c r="J18" s="9" t="s">
        <v>5</v>
      </c>
      <c r="K18" s="11" t="s">
        <v>5</v>
      </c>
      <c r="L18" s="230"/>
      <c r="M18" s="228"/>
      <c r="N18" s="9"/>
      <c r="O18" s="9"/>
      <c r="P18" s="9"/>
      <c r="Q18" s="11"/>
      <c r="R18" s="230"/>
      <c r="S18" s="228"/>
      <c r="T18" s="9"/>
      <c r="U18" s="9"/>
      <c r="V18" s="227"/>
      <c r="W18" s="228"/>
      <c r="X18" s="227"/>
      <c r="Y18" s="229"/>
      <c r="Z18" s="230"/>
      <c r="AA18" s="228"/>
      <c r="AB18" s="9"/>
      <c r="AC18" s="9"/>
      <c r="AD18" s="9"/>
      <c r="AE18" s="11"/>
      <c r="AF18" s="10"/>
      <c r="AG18" s="227"/>
      <c r="AH18" s="228"/>
      <c r="AI18" s="9"/>
      <c r="AJ18" s="9"/>
      <c r="AK18" s="227"/>
      <c r="AL18" s="229"/>
      <c r="AM18" s="212">
        <f t="shared" si="0"/>
        <v>0</v>
      </c>
      <c r="AN18" s="213"/>
      <c r="AO18" s="212">
        <f t="shared" si="1"/>
        <v>23</v>
      </c>
      <c r="AP18" s="213"/>
      <c r="AQ18" s="214" t="s">
        <v>5</v>
      </c>
      <c r="AR18" s="215"/>
      <c r="AS18" s="215"/>
      <c r="AT18" s="215"/>
      <c r="AU18" s="216"/>
      <c r="AW18" s="8"/>
      <c r="AY18" s="7"/>
    </row>
    <row r="19" spans="1:51" ht="19.899999999999999" customHeight="1">
      <c r="A19" s="220">
        <v>12</v>
      </c>
      <c r="B19" s="221"/>
      <c r="C19" s="231" t="s">
        <v>107</v>
      </c>
      <c r="D19" s="232"/>
      <c r="E19" s="233"/>
      <c r="F19" s="230"/>
      <c r="G19" s="228"/>
      <c r="H19" s="9"/>
      <c r="I19" s="9" t="s">
        <v>5</v>
      </c>
      <c r="J19" s="9" t="s">
        <v>5</v>
      </c>
      <c r="K19" s="11" t="s">
        <v>5</v>
      </c>
      <c r="L19" s="230"/>
      <c r="M19" s="228"/>
      <c r="N19" s="9"/>
      <c r="O19" s="9"/>
      <c r="P19" s="9"/>
      <c r="Q19" s="11"/>
      <c r="R19" s="230" t="s">
        <v>132</v>
      </c>
      <c r="S19" s="228"/>
      <c r="T19" s="9" t="s">
        <v>132</v>
      </c>
      <c r="U19" s="9" t="s">
        <v>132</v>
      </c>
      <c r="V19" s="227"/>
      <c r="W19" s="228"/>
      <c r="X19" s="227"/>
      <c r="Y19" s="229"/>
      <c r="Z19" s="230"/>
      <c r="AA19" s="228"/>
      <c r="AB19" s="9"/>
      <c r="AC19" s="9"/>
      <c r="AD19" s="9"/>
      <c r="AE19" s="11"/>
      <c r="AF19" s="10"/>
      <c r="AG19" s="227"/>
      <c r="AH19" s="228"/>
      <c r="AI19" s="9"/>
      <c r="AJ19" s="9"/>
      <c r="AK19" s="227"/>
      <c r="AL19" s="229"/>
      <c r="AM19" s="212">
        <f t="shared" si="0"/>
        <v>3</v>
      </c>
      <c r="AN19" s="213"/>
      <c r="AO19" s="212">
        <f t="shared" si="1"/>
        <v>20</v>
      </c>
      <c r="AP19" s="213"/>
      <c r="AQ19" s="214" t="s">
        <v>5</v>
      </c>
      <c r="AR19" s="215"/>
      <c r="AS19" s="215"/>
      <c r="AT19" s="215"/>
      <c r="AU19" s="216"/>
      <c r="AW19" s="8"/>
      <c r="AY19" s="7"/>
    </row>
    <row r="20" spans="1:51" ht="19.5" customHeight="1" thickBot="1">
      <c r="A20" s="220">
        <v>13</v>
      </c>
      <c r="B20" s="221"/>
      <c r="C20" s="231" t="s">
        <v>108</v>
      </c>
      <c r="D20" s="232"/>
      <c r="E20" s="233"/>
      <c r="F20" s="230"/>
      <c r="G20" s="228"/>
      <c r="H20" s="9"/>
      <c r="I20" s="9" t="s">
        <v>5</v>
      </c>
      <c r="J20" s="9" t="s">
        <v>5</v>
      </c>
      <c r="K20" s="11" t="s">
        <v>5</v>
      </c>
      <c r="L20" s="230"/>
      <c r="M20" s="228"/>
      <c r="N20" s="9"/>
      <c r="O20" s="9"/>
      <c r="P20" s="9"/>
      <c r="Q20" s="11"/>
      <c r="R20" s="230"/>
      <c r="S20" s="228"/>
      <c r="T20" s="9"/>
      <c r="U20" s="9"/>
      <c r="V20" s="227"/>
      <c r="W20" s="228"/>
      <c r="X20" s="227"/>
      <c r="Y20" s="229"/>
      <c r="Z20" s="230"/>
      <c r="AA20" s="228"/>
      <c r="AB20" s="9"/>
      <c r="AC20" s="9"/>
      <c r="AD20" s="9"/>
      <c r="AE20" s="11"/>
      <c r="AF20" s="10"/>
      <c r="AG20" s="227"/>
      <c r="AH20" s="228"/>
      <c r="AI20" s="9"/>
      <c r="AJ20" s="9"/>
      <c r="AK20" s="227"/>
      <c r="AL20" s="229"/>
      <c r="AM20" s="212">
        <f t="shared" si="0"/>
        <v>0</v>
      </c>
      <c r="AN20" s="213"/>
      <c r="AO20" s="212">
        <f t="shared" si="1"/>
        <v>23</v>
      </c>
      <c r="AP20" s="213"/>
      <c r="AQ20" s="214" t="s">
        <v>5</v>
      </c>
      <c r="AR20" s="215"/>
      <c r="AS20" s="215"/>
      <c r="AT20" s="215"/>
      <c r="AU20" s="216"/>
      <c r="AW20" s="8"/>
      <c r="AY20" s="7"/>
    </row>
    <row r="21" spans="1:51" ht="19.5" hidden="1" customHeight="1" thickBot="1">
      <c r="A21" s="220">
        <v>14</v>
      </c>
      <c r="B21" s="221"/>
      <c r="C21" s="246"/>
      <c r="D21" s="247"/>
      <c r="E21" s="248"/>
      <c r="F21" s="230"/>
      <c r="G21" s="228"/>
      <c r="H21" s="9"/>
      <c r="I21" s="9" t="s">
        <v>5</v>
      </c>
      <c r="J21" s="9" t="s">
        <v>5</v>
      </c>
      <c r="K21" s="11" t="s">
        <v>5</v>
      </c>
      <c r="L21" s="230"/>
      <c r="M21" s="228"/>
      <c r="N21" s="9"/>
      <c r="O21" s="9"/>
      <c r="P21" s="9"/>
      <c r="Q21" s="11"/>
      <c r="R21" s="230"/>
      <c r="S21" s="228"/>
      <c r="T21" s="9"/>
      <c r="U21" s="9"/>
      <c r="V21" s="227"/>
      <c r="W21" s="228"/>
      <c r="X21" s="227"/>
      <c r="Y21" s="229"/>
      <c r="Z21" s="230"/>
      <c r="AA21" s="228"/>
      <c r="AB21" s="9"/>
      <c r="AC21" s="9"/>
      <c r="AD21" s="9"/>
      <c r="AE21" s="11"/>
      <c r="AF21" s="10"/>
      <c r="AG21" s="227"/>
      <c r="AH21" s="228"/>
      <c r="AI21" s="9"/>
      <c r="AJ21" s="9"/>
      <c r="AK21" s="227" t="s">
        <v>88</v>
      </c>
      <c r="AL21" s="229"/>
      <c r="AM21" s="212">
        <f t="shared" si="0"/>
        <v>0</v>
      </c>
      <c r="AN21" s="213"/>
      <c r="AO21" s="212">
        <f t="shared" si="1"/>
        <v>23</v>
      </c>
      <c r="AP21" s="213"/>
      <c r="AQ21" s="214" t="s">
        <v>5</v>
      </c>
      <c r="AR21" s="215"/>
      <c r="AS21" s="215"/>
      <c r="AT21" s="215"/>
      <c r="AU21" s="216"/>
      <c r="AW21" s="8"/>
      <c r="AY21" s="7"/>
    </row>
    <row r="22" spans="1:51" ht="19.5" hidden="1" customHeight="1" thickBot="1">
      <c r="A22" s="220">
        <v>15</v>
      </c>
      <c r="B22" s="221"/>
      <c r="C22" s="246"/>
      <c r="D22" s="247"/>
      <c r="E22" s="248"/>
      <c r="F22" s="230"/>
      <c r="G22" s="228"/>
      <c r="H22" s="9"/>
      <c r="I22" s="9" t="s">
        <v>5</v>
      </c>
      <c r="J22" s="9" t="s">
        <v>5</v>
      </c>
      <c r="K22" s="11" t="s">
        <v>5</v>
      </c>
      <c r="L22" s="230"/>
      <c r="M22" s="228"/>
      <c r="N22" s="9"/>
      <c r="O22" s="9"/>
      <c r="P22" s="9"/>
      <c r="Q22" s="11"/>
      <c r="R22" s="230"/>
      <c r="S22" s="228"/>
      <c r="T22" s="9"/>
      <c r="U22" s="9"/>
      <c r="V22" s="227"/>
      <c r="W22" s="228"/>
      <c r="X22" s="227"/>
      <c r="Y22" s="229"/>
      <c r="Z22" s="230"/>
      <c r="AA22" s="228"/>
      <c r="AB22" s="9"/>
      <c r="AC22" s="9"/>
      <c r="AD22" s="9"/>
      <c r="AE22" s="11"/>
      <c r="AF22" s="10"/>
      <c r="AG22" s="227"/>
      <c r="AH22" s="228"/>
      <c r="AI22" s="9"/>
      <c r="AJ22" s="9"/>
      <c r="AK22" s="227" t="s">
        <v>87</v>
      </c>
      <c r="AL22" s="229"/>
      <c r="AM22" s="212">
        <f t="shared" si="0"/>
        <v>0</v>
      </c>
      <c r="AN22" s="213"/>
      <c r="AO22" s="212">
        <f t="shared" si="1"/>
        <v>23</v>
      </c>
      <c r="AP22" s="213"/>
      <c r="AQ22" s="214" t="s">
        <v>5</v>
      </c>
      <c r="AR22" s="215"/>
      <c r="AS22" s="215"/>
      <c r="AT22" s="215"/>
      <c r="AU22" s="216"/>
      <c r="AW22" s="8"/>
      <c r="AY22" s="7"/>
    </row>
    <row r="23" spans="1:51" ht="19.5" hidden="1" customHeight="1" thickBot="1">
      <c r="A23" s="220">
        <v>16</v>
      </c>
      <c r="B23" s="221"/>
      <c r="C23" s="246"/>
      <c r="D23" s="247"/>
      <c r="E23" s="248"/>
      <c r="F23" s="230"/>
      <c r="G23" s="228"/>
      <c r="H23" s="9"/>
      <c r="I23" s="9" t="s">
        <v>5</v>
      </c>
      <c r="J23" s="9" t="s">
        <v>5</v>
      </c>
      <c r="K23" s="11" t="s">
        <v>5</v>
      </c>
      <c r="L23" s="230"/>
      <c r="M23" s="228"/>
      <c r="N23" s="9"/>
      <c r="O23" s="9"/>
      <c r="P23" s="9"/>
      <c r="Q23" s="11"/>
      <c r="R23" s="230"/>
      <c r="S23" s="228"/>
      <c r="T23" s="9"/>
      <c r="U23" s="9"/>
      <c r="V23" s="227"/>
      <c r="W23" s="228"/>
      <c r="X23" s="227"/>
      <c r="Y23" s="229"/>
      <c r="Z23" s="230"/>
      <c r="AA23" s="228"/>
      <c r="AB23" s="9"/>
      <c r="AC23" s="9"/>
      <c r="AD23" s="9"/>
      <c r="AE23" s="11"/>
      <c r="AF23" s="10"/>
      <c r="AG23" s="227"/>
      <c r="AH23" s="228"/>
      <c r="AI23" s="9"/>
      <c r="AJ23" s="9"/>
      <c r="AK23" s="227"/>
      <c r="AL23" s="229"/>
      <c r="AM23" s="212">
        <f t="shared" si="0"/>
        <v>0</v>
      </c>
      <c r="AN23" s="213"/>
      <c r="AO23" s="212">
        <f t="shared" si="1"/>
        <v>23</v>
      </c>
      <c r="AP23" s="213"/>
      <c r="AQ23" s="214" t="s">
        <v>5</v>
      </c>
      <c r="AR23" s="215"/>
      <c r="AS23" s="215"/>
      <c r="AT23" s="215"/>
      <c r="AU23" s="216"/>
      <c r="AW23" s="8"/>
      <c r="AY23" s="7"/>
    </row>
    <row r="24" spans="1:51" ht="19.5" hidden="1" customHeight="1" thickBot="1">
      <c r="A24" s="220">
        <v>17</v>
      </c>
      <c r="B24" s="221"/>
      <c r="C24" s="246"/>
      <c r="D24" s="247"/>
      <c r="E24" s="248"/>
      <c r="F24" s="230"/>
      <c r="G24" s="228"/>
      <c r="H24" s="9"/>
      <c r="I24" s="9" t="s">
        <v>5</v>
      </c>
      <c r="J24" s="9" t="s">
        <v>5</v>
      </c>
      <c r="K24" s="11" t="s">
        <v>5</v>
      </c>
      <c r="L24" s="230"/>
      <c r="M24" s="228"/>
      <c r="N24" s="9"/>
      <c r="O24" s="9"/>
      <c r="P24" s="9"/>
      <c r="Q24" s="11"/>
      <c r="R24" s="230"/>
      <c r="S24" s="228"/>
      <c r="T24" s="9"/>
      <c r="U24" s="9"/>
      <c r="V24" s="227"/>
      <c r="W24" s="228"/>
      <c r="X24" s="227"/>
      <c r="Y24" s="229"/>
      <c r="Z24" s="230"/>
      <c r="AA24" s="228"/>
      <c r="AB24" s="9"/>
      <c r="AC24" s="9"/>
      <c r="AD24" s="9"/>
      <c r="AE24" s="11"/>
      <c r="AF24" s="10"/>
      <c r="AG24" s="227"/>
      <c r="AH24" s="228"/>
      <c r="AI24" s="9"/>
      <c r="AJ24" s="9"/>
      <c r="AK24" s="227" t="s">
        <v>92</v>
      </c>
      <c r="AL24" s="229"/>
      <c r="AM24" s="212">
        <f t="shared" si="0"/>
        <v>0</v>
      </c>
      <c r="AN24" s="213"/>
      <c r="AO24" s="212">
        <f t="shared" si="1"/>
        <v>23</v>
      </c>
      <c r="AP24" s="213"/>
      <c r="AQ24" s="214" t="s">
        <v>5</v>
      </c>
      <c r="AR24" s="215"/>
      <c r="AS24" s="215"/>
      <c r="AT24" s="215"/>
      <c r="AU24" s="216"/>
      <c r="AW24" s="8"/>
      <c r="AY24" s="7"/>
    </row>
    <row r="25" spans="1:51" ht="19.5" hidden="1" customHeight="1" thickBot="1">
      <c r="A25" s="220">
        <v>18</v>
      </c>
      <c r="B25" s="221"/>
      <c r="C25" s="246"/>
      <c r="D25" s="247"/>
      <c r="E25" s="248"/>
      <c r="F25" s="230"/>
      <c r="G25" s="228"/>
      <c r="H25" s="9"/>
      <c r="I25" s="9" t="s">
        <v>5</v>
      </c>
      <c r="J25" s="9" t="s">
        <v>5</v>
      </c>
      <c r="K25" s="11" t="s">
        <v>5</v>
      </c>
      <c r="L25" s="230"/>
      <c r="M25" s="228"/>
      <c r="N25" s="9"/>
      <c r="O25" s="9"/>
      <c r="P25" s="9"/>
      <c r="Q25" s="11"/>
      <c r="R25" s="230"/>
      <c r="S25" s="228"/>
      <c r="T25" s="9"/>
      <c r="U25" s="9"/>
      <c r="V25" s="227"/>
      <c r="W25" s="228"/>
      <c r="X25" s="227"/>
      <c r="Y25" s="229"/>
      <c r="Z25" s="230"/>
      <c r="AA25" s="228"/>
      <c r="AB25" s="9"/>
      <c r="AC25" s="9"/>
      <c r="AD25" s="9"/>
      <c r="AE25" s="11"/>
      <c r="AF25" s="10"/>
      <c r="AG25" s="227"/>
      <c r="AH25" s="228"/>
      <c r="AI25" s="9"/>
      <c r="AJ25" s="9"/>
      <c r="AK25" s="227" t="s">
        <v>95</v>
      </c>
      <c r="AL25" s="229"/>
      <c r="AM25" s="212">
        <f t="shared" si="0"/>
        <v>0</v>
      </c>
      <c r="AN25" s="213"/>
      <c r="AO25" s="212">
        <f t="shared" si="1"/>
        <v>23</v>
      </c>
      <c r="AP25" s="213"/>
      <c r="AQ25" s="214" t="s">
        <v>5</v>
      </c>
      <c r="AR25" s="215"/>
      <c r="AS25" s="215"/>
      <c r="AT25" s="215"/>
      <c r="AU25" s="216"/>
      <c r="AW25" s="8"/>
      <c r="AY25" s="7"/>
    </row>
    <row r="26" spans="1:51" ht="19.5" hidden="1" customHeight="1" thickBot="1">
      <c r="A26" s="220">
        <v>19</v>
      </c>
      <c r="B26" s="221"/>
      <c r="C26" s="249"/>
      <c r="D26" s="250"/>
      <c r="E26" s="54"/>
      <c r="F26" s="58"/>
      <c r="G26" s="59"/>
      <c r="H26" s="9"/>
      <c r="I26" s="9"/>
      <c r="J26" s="9"/>
      <c r="K26" s="11"/>
      <c r="L26" s="58"/>
      <c r="M26" s="59"/>
      <c r="N26" s="9"/>
      <c r="O26" s="9"/>
      <c r="P26" s="9"/>
      <c r="Q26" s="11"/>
      <c r="R26" s="58"/>
      <c r="S26" s="59"/>
      <c r="T26" s="9"/>
      <c r="U26" s="9"/>
      <c r="V26" s="56"/>
      <c r="W26" s="59"/>
      <c r="X26" s="56"/>
      <c r="Y26" s="57"/>
      <c r="Z26" s="58"/>
      <c r="AA26" s="59"/>
      <c r="AB26" s="9"/>
      <c r="AC26" s="9"/>
      <c r="AD26" s="9"/>
      <c r="AE26" s="11"/>
      <c r="AF26" s="10"/>
      <c r="AG26" s="56"/>
      <c r="AH26" s="59"/>
      <c r="AI26" s="9"/>
      <c r="AJ26" s="9"/>
      <c r="AK26" s="227" t="s">
        <v>92</v>
      </c>
      <c r="AL26" s="229"/>
      <c r="AM26" s="212">
        <f t="shared" si="0"/>
        <v>0</v>
      </c>
      <c r="AN26" s="213"/>
      <c r="AO26" s="212">
        <f t="shared" si="1"/>
        <v>23</v>
      </c>
      <c r="AP26" s="213"/>
      <c r="AQ26" s="245"/>
      <c r="AR26" s="215"/>
      <c r="AS26" s="215"/>
      <c r="AT26" s="215"/>
      <c r="AU26" s="37"/>
      <c r="AW26" s="8"/>
      <c r="AY26" s="7"/>
    </row>
    <row r="27" spans="1:51" ht="19.5" hidden="1" customHeight="1" thickBot="1">
      <c r="A27" s="220">
        <v>20</v>
      </c>
      <c r="B27" s="221"/>
      <c r="C27" s="246"/>
      <c r="D27" s="247"/>
      <c r="E27" s="248"/>
      <c r="F27" s="230"/>
      <c r="G27" s="228"/>
      <c r="H27" s="9"/>
      <c r="I27" s="9" t="s">
        <v>5</v>
      </c>
      <c r="J27" s="9" t="s">
        <v>5</v>
      </c>
      <c r="K27" s="11" t="s">
        <v>5</v>
      </c>
      <c r="L27" s="230"/>
      <c r="M27" s="228"/>
      <c r="N27" s="9"/>
      <c r="O27" s="9"/>
      <c r="P27" s="9"/>
      <c r="Q27" s="11"/>
      <c r="R27" s="230"/>
      <c r="S27" s="228"/>
      <c r="T27" s="9"/>
      <c r="U27" s="9"/>
      <c r="V27" s="227"/>
      <c r="W27" s="228"/>
      <c r="X27" s="227"/>
      <c r="Y27" s="229"/>
      <c r="Z27" s="230"/>
      <c r="AA27" s="228"/>
      <c r="AB27" s="9"/>
      <c r="AC27" s="9"/>
      <c r="AD27" s="9"/>
      <c r="AE27" s="11"/>
      <c r="AF27" s="10"/>
      <c r="AG27" s="227"/>
      <c r="AH27" s="228"/>
      <c r="AI27" s="9"/>
      <c r="AJ27" s="9"/>
      <c r="AK27" s="227"/>
      <c r="AL27" s="229"/>
      <c r="AM27" s="212">
        <f t="shared" si="0"/>
        <v>0</v>
      </c>
      <c r="AN27" s="213"/>
      <c r="AO27" s="212">
        <f t="shared" si="1"/>
        <v>23</v>
      </c>
      <c r="AP27" s="213"/>
      <c r="AQ27" s="245" t="s">
        <v>5</v>
      </c>
      <c r="AR27" s="215"/>
      <c r="AS27" s="215"/>
      <c r="AT27" s="215"/>
      <c r="AU27" s="216"/>
      <c r="AW27" s="8"/>
      <c r="AY27" s="7"/>
    </row>
    <row r="28" spans="1:51" ht="19.5" hidden="1" customHeight="1" thickBot="1">
      <c r="A28" s="220">
        <v>21</v>
      </c>
      <c r="B28" s="221"/>
      <c r="C28" s="246"/>
      <c r="D28" s="247"/>
      <c r="E28" s="248"/>
      <c r="F28" s="226"/>
      <c r="G28" s="210"/>
      <c r="H28" s="16"/>
      <c r="I28" s="16" t="s">
        <v>5</v>
      </c>
      <c r="J28" s="16" t="s">
        <v>5</v>
      </c>
      <c r="K28" s="17" t="s">
        <v>5</v>
      </c>
      <c r="L28" s="226"/>
      <c r="M28" s="210"/>
      <c r="N28" s="16"/>
      <c r="O28" s="16"/>
      <c r="P28" s="16"/>
      <c r="Q28" s="17"/>
      <c r="R28" s="226"/>
      <c r="S28" s="210"/>
      <c r="T28" s="16"/>
      <c r="U28" s="16"/>
      <c r="V28" s="209"/>
      <c r="W28" s="210"/>
      <c r="X28" s="209"/>
      <c r="Y28" s="211"/>
      <c r="Z28" s="226"/>
      <c r="AA28" s="210"/>
      <c r="AB28" s="16"/>
      <c r="AC28" s="16"/>
      <c r="AD28" s="16"/>
      <c r="AE28" s="17"/>
      <c r="AF28" s="15"/>
      <c r="AG28" s="209"/>
      <c r="AH28" s="210"/>
      <c r="AI28" s="16"/>
      <c r="AJ28" s="16"/>
      <c r="AK28" s="209" t="s">
        <v>5</v>
      </c>
      <c r="AL28" s="211"/>
      <c r="AM28" s="212">
        <f t="shared" si="0"/>
        <v>0</v>
      </c>
      <c r="AN28" s="213"/>
      <c r="AO28" s="212">
        <f t="shared" si="1"/>
        <v>23</v>
      </c>
      <c r="AP28" s="213"/>
      <c r="AQ28" s="214" t="s">
        <v>5</v>
      </c>
      <c r="AR28" s="215"/>
      <c r="AS28" s="215"/>
      <c r="AT28" s="215"/>
      <c r="AU28" s="216"/>
      <c r="AW28" s="217" t="s">
        <v>74</v>
      </c>
      <c r="AX28" s="218"/>
      <c r="AY28" s="219"/>
    </row>
    <row r="29" spans="1:51" ht="19.899999999999999" customHeight="1" thickTop="1" thickBot="1">
      <c r="A29" s="187">
        <v>13</v>
      </c>
      <c r="B29" s="188"/>
      <c r="C29" s="205" t="s">
        <v>21</v>
      </c>
      <c r="D29" s="206"/>
      <c r="E29" s="206"/>
      <c r="F29" s="243"/>
      <c r="G29" s="241"/>
      <c r="H29" s="28"/>
      <c r="I29" s="28">
        <v>13</v>
      </c>
      <c r="J29" s="28">
        <v>13</v>
      </c>
      <c r="K29" s="28">
        <v>13</v>
      </c>
      <c r="L29" s="242">
        <v>13</v>
      </c>
      <c r="M29" s="241"/>
      <c r="N29" s="28">
        <v>13</v>
      </c>
      <c r="O29" s="28">
        <v>13</v>
      </c>
      <c r="P29" s="28">
        <v>13</v>
      </c>
      <c r="Q29" s="33">
        <v>13</v>
      </c>
      <c r="R29" s="244">
        <v>12</v>
      </c>
      <c r="S29" s="238"/>
      <c r="T29" s="26">
        <v>9</v>
      </c>
      <c r="U29" s="26">
        <v>10</v>
      </c>
      <c r="V29" s="238">
        <v>12</v>
      </c>
      <c r="W29" s="238"/>
      <c r="X29" s="238">
        <v>13</v>
      </c>
      <c r="Y29" s="239"/>
      <c r="Z29" s="240">
        <v>12</v>
      </c>
      <c r="AA29" s="241"/>
      <c r="AB29" s="28">
        <v>11</v>
      </c>
      <c r="AC29" s="28">
        <v>13</v>
      </c>
      <c r="AD29" s="28">
        <v>13</v>
      </c>
      <c r="AE29" s="32">
        <v>13</v>
      </c>
      <c r="AF29" s="34">
        <v>13</v>
      </c>
      <c r="AG29" s="242">
        <v>13</v>
      </c>
      <c r="AH29" s="241"/>
      <c r="AI29" s="28">
        <v>13</v>
      </c>
      <c r="AJ29" s="28">
        <v>13</v>
      </c>
      <c r="AK29" s="238"/>
      <c r="AL29" s="239"/>
      <c r="AM29" s="170">
        <f>SUM(AM8:AN28)</f>
        <v>12</v>
      </c>
      <c r="AN29" s="171"/>
      <c r="AO29" s="172">
        <v>287</v>
      </c>
      <c r="AP29" s="171"/>
      <c r="AQ29" s="173" t="s">
        <v>5</v>
      </c>
      <c r="AR29" s="174"/>
      <c r="AS29" s="174"/>
      <c r="AT29" s="174"/>
      <c r="AU29" s="175"/>
      <c r="AW29" s="12">
        <f>AW5</f>
        <v>23</v>
      </c>
      <c r="AX29" s="39">
        <v>13</v>
      </c>
      <c r="AY29" s="7">
        <f>AW29*AX29</f>
        <v>299</v>
      </c>
    </row>
    <row r="30" spans="1:51" ht="19.899999999999999" customHeight="1">
      <c r="A30" s="220">
        <v>1</v>
      </c>
      <c r="B30" s="221"/>
      <c r="C30" s="231" t="s">
        <v>109</v>
      </c>
      <c r="D30" s="232"/>
      <c r="E30" s="233"/>
      <c r="F30" s="230"/>
      <c r="G30" s="228"/>
      <c r="H30" s="29"/>
      <c r="I30" s="9"/>
      <c r="J30" s="9"/>
      <c r="K30" s="30"/>
      <c r="L30" s="237"/>
      <c r="M30" s="235"/>
      <c r="N30" s="9"/>
      <c r="O30" s="29"/>
      <c r="P30" s="29"/>
      <c r="Q30" s="30"/>
      <c r="R30" s="237"/>
      <c r="S30" s="235"/>
      <c r="T30" s="29" t="s">
        <v>132</v>
      </c>
      <c r="U30" s="29" t="s">
        <v>132</v>
      </c>
      <c r="V30" s="234" t="s">
        <v>132</v>
      </c>
      <c r="W30" s="235"/>
      <c r="X30" s="234"/>
      <c r="Y30" s="236"/>
      <c r="Z30" s="237"/>
      <c r="AA30" s="235"/>
      <c r="AB30" s="29"/>
      <c r="AC30" s="29"/>
      <c r="AD30" s="29"/>
      <c r="AE30" s="30"/>
      <c r="AF30" s="31"/>
      <c r="AG30" s="234"/>
      <c r="AH30" s="235"/>
      <c r="AI30" s="29"/>
      <c r="AJ30" s="9"/>
      <c r="AK30" s="234"/>
      <c r="AL30" s="236"/>
      <c r="AM30" s="212">
        <f t="shared" ref="AM30:AM48" si="2">COUNTIF(F30:AL30,"X")</f>
        <v>3</v>
      </c>
      <c r="AN30" s="213"/>
      <c r="AO30" s="212">
        <f t="shared" ref="AO30:AO48" si="3">$AW$5-AM30</f>
        <v>20</v>
      </c>
      <c r="AP30" s="213"/>
      <c r="AQ30" s="214" t="s">
        <v>5</v>
      </c>
      <c r="AR30" s="215"/>
      <c r="AS30" s="215"/>
      <c r="AT30" s="215"/>
      <c r="AU30" s="216"/>
      <c r="AW30" s="8"/>
      <c r="AY30" s="7"/>
    </row>
    <row r="31" spans="1:51" ht="19.899999999999999" customHeight="1">
      <c r="A31" s="220">
        <v>2</v>
      </c>
      <c r="B31" s="221"/>
      <c r="C31" s="231" t="s">
        <v>110</v>
      </c>
      <c r="D31" s="232"/>
      <c r="E31" s="233"/>
      <c r="F31" s="230"/>
      <c r="G31" s="228"/>
      <c r="H31" s="9"/>
      <c r="I31" s="9"/>
      <c r="J31" s="9"/>
      <c r="K31" s="11"/>
      <c r="L31" s="230"/>
      <c r="M31" s="228"/>
      <c r="N31" s="9"/>
      <c r="O31" s="9"/>
      <c r="P31" s="9"/>
      <c r="Q31" s="11"/>
      <c r="R31" s="230"/>
      <c r="S31" s="228"/>
      <c r="T31" s="9"/>
      <c r="U31" s="9"/>
      <c r="V31" s="227"/>
      <c r="W31" s="228"/>
      <c r="X31" s="227"/>
      <c r="Y31" s="229"/>
      <c r="Z31" s="230"/>
      <c r="AA31" s="228"/>
      <c r="AB31" s="9"/>
      <c r="AC31" s="9"/>
      <c r="AD31" s="9"/>
      <c r="AE31" s="11"/>
      <c r="AF31" s="10"/>
      <c r="AG31" s="227"/>
      <c r="AH31" s="228"/>
      <c r="AI31" s="9"/>
      <c r="AJ31" s="9"/>
      <c r="AK31" s="227"/>
      <c r="AL31" s="229"/>
      <c r="AM31" s="212">
        <f t="shared" si="2"/>
        <v>0</v>
      </c>
      <c r="AN31" s="213"/>
      <c r="AO31" s="212">
        <f t="shared" si="3"/>
        <v>23</v>
      </c>
      <c r="AP31" s="213"/>
      <c r="AQ31" s="214" t="s">
        <v>5</v>
      </c>
      <c r="AR31" s="215"/>
      <c r="AS31" s="215"/>
      <c r="AT31" s="215"/>
      <c r="AU31" s="216"/>
      <c r="AW31" s="8"/>
      <c r="AY31" s="7"/>
    </row>
    <row r="32" spans="1:51" ht="19.899999999999999" customHeight="1">
      <c r="A32" s="220">
        <v>3</v>
      </c>
      <c r="B32" s="221"/>
      <c r="C32" s="231" t="s">
        <v>111</v>
      </c>
      <c r="D32" s="232"/>
      <c r="E32" s="233"/>
      <c r="F32" s="230"/>
      <c r="G32" s="228"/>
      <c r="H32" s="9"/>
      <c r="I32" s="9"/>
      <c r="J32" s="9"/>
      <c r="K32" s="11"/>
      <c r="L32" s="230"/>
      <c r="M32" s="228"/>
      <c r="N32" s="9"/>
      <c r="O32" s="9"/>
      <c r="P32" s="9"/>
      <c r="Q32" s="11"/>
      <c r="R32" s="230"/>
      <c r="S32" s="228"/>
      <c r="T32" s="9"/>
      <c r="U32" s="9"/>
      <c r="V32" s="227"/>
      <c r="W32" s="228"/>
      <c r="X32" s="227"/>
      <c r="Y32" s="229"/>
      <c r="Z32" s="230"/>
      <c r="AA32" s="228"/>
      <c r="AB32" s="9"/>
      <c r="AC32" s="9"/>
      <c r="AD32" s="9"/>
      <c r="AE32" s="11"/>
      <c r="AF32" s="10"/>
      <c r="AG32" s="227"/>
      <c r="AH32" s="228"/>
      <c r="AI32" s="9"/>
      <c r="AJ32" s="9"/>
      <c r="AK32" s="227"/>
      <c r="AL32" s="229"/>
      <c r="AM32" s="212">
        <f t="shared" si="2"/>
        <v>0</v>
      </c>
      <c r="AN32" s="213"/>
      <c r="AO32" s="212">
        <f t="shared" si="3"/>
        <v>23</v>
      </c>
      <c r="AP32" s="213"/>
      <c r="AQ32" s="214" t="s">
        <v>5</v>
      </c>
      <c r="AR32" s="215"/>
      <c r="AS32" s="215"/>
      <c r="AT32" s="215"/>
      <c r="AU32" s="216"/>
      <c r="AW32" s="8"/>
      <c r="AY32" s="7"/>
    </row>
    <row r="33" spans="1:51" ht="19.899999999999999" customHeight="1">
      <c r="A33" s="220">
        <v>4</v>
      </c>
      <c r="B33" s="221"/>
      <c r="C33" s="231" t="s">
        <v>112</v>
      </c>
      <c r="D33" s="232"/>
      <c r="E33" s="233"/>
      <c r="F33" s="230"/>
      <c r="G33" s="228"/>
      <c r="H33" s="9"/>
      <c r="I33" s="9"/>
      <c r="J33" s="9"/>
      <c r="K33" s="11"/>
      <c r="L33" s="230"/>
      <c r="M33" s="228"/>
      <c r="N33" s="9"/>
      <c r="O33" s="9"/>
      <c r="P33" s="9"/>
      <c r="Q33" s="11"/>
      <c r="R33" s="230"/>
      <c r="S33" s="228"/>
      <c r="T33" s="9"/>
      <c r="U33" s="9"/>
      <c r="V33" s="227"/>
      <c r="W33" s="228"/>
      <c r="X33" s="227"/>
      <c r="Y33" s="229"/>
      <c r="Z33" s="230"/>
      <c r="AA33" s="228"/>
      <c r="AB33" s="9"/>
      <c r="AC33" s="9"/>
      <c r="AD33" s="9"/>
      <c r="AE33" s="11"/>
      <c r="AF33" s="10"/>
      <c r="AG33" s="227"/>
      <c r="AH33" s="228"/>
      <c r="AI33" s="9"/>
      <c r="AJ33" s="9"/>
      <c r="AK33" s="227"/>
      <c r="AL33" s="229"/>
      <c r="AM33" s="212">
        <f t="shared" si="2"/>
        <v>0</v>
      </c>
      <c r="AN33" s="213"/>
      <c r="AO33" s="212">
        <f t="shared" si="3"/>
        <v>23</v>
      </c>
      <c r="AP33" s="213"/>
      <c r="AQ33" s="214" t="s">
        <v>5</v>
      </c>
      <c r="AR33" s="215"/>
      <c r="AS33" s="215"/>
      <c r="AT33" s="215"/>
      <c r="AU33" s="216"/>
      <c r="AW33" s="8"/>
      <c r="AY33" s="7"/>
    </row>
    <row r="34" spans="1:51" ht="19.899999999999999" customHeight="1">
      <c r="A34" s="220">
        <v>5</v>
      </c>
      <c r="B34" s="221"/>
      <c r="C34" s="231" t="s">
        <v>113</v>
      </c>
      <c r="D34" s="232"/>
      <c r="E34" s="233"/>
      <c r="F34" s="230"/>
      <c r="G34" s="228"/>
      <c r="H34" s="9"/>
      <c r="I34" s="9"/>
      <c r="J34" s="9"/>
      <c r="K34" s="11"/>
      <c r="L34" s="230"/>
      <c r="M34" s="228"/>
      <c r="N34" s="9"/>
      <c r="O34" s="9"/>
      <c r="P34" s="9"/>
      <c r="Q34" s="11"/>
      <c r="R34" s="230"/>
      <c r="S34" s="228"/>
      <c r="T34" s="9"/>
      <c r="U34" s="9"/>
      <c r="V34" s="227"/>
      <c r="W34" s="228"/>
      <c r="X34" s="227"/>
      <c r="Y34" s="229"/>
      <c r="Z34" s="230"/>
      <c r="AA34" s="228"/>
      <c r="AB34" s="9"/>
      <c r="AC34" s="9"/>
      <c r="AD34" s="9"/>
      <c r="AE34" s="11"/>
      <c r="AF34" s="10"/>
      <c r="AG34" s="227"/>
      <c r="AH34" s="228"/>
      <c r="AI34" s="9"/>
      <c r="AJ34" s="9"/>
      <c r="AK34" s="227"/>
      <c r="AL34" s="229"/>
      <c r="AM34" s="212">
        <f t="shared" si="2"/>
        <v>0</v>
      </c>
      <c r="AN34" s="213"/>
      <c r="AO34" s="212">
        <f t="shared" si="3"/>
        <v>23</v>
      </c>
      <c r="AP34" s="213"/>
      <c r="AQ34" s="214" t="s">
        <v>5</v>
      </c>
      <c r="AR34" s="215"/>
      <c r="AS34" s="215"/>
      <c r="AT34" s="215"/>
      <c r="AU34" s="216"/>
      <c r="AW34" s="8"/>
      <c r="AY34" s="7"/>
    </row>
    <row r="35" spans="1:51" ht="19.899999999999999" customHeight="1">
      <c r="A35" s="220">
        <v>6</v>
      </c>
      <c r="B35" s="221"/>
      <c r="C35" s="231" t="s">
        <v>114</v>
      </c>
      <c r="D35" s="232"/>
      <c r="E35" s="233"/>
      <c r="F35" s="230"/>
      <c r="G35" s="228"/>
      <c r="H35" s="9"/>
      <c r="I35" s="9"/>
      <c r="J35" s="9"/>
      <c r="K35" s="11"/>
      <c r="L35" s="230"/>
      <c r="M35" s="228"/>
      <c r="N35" s="9"/>
      <c r="O35" s="9"/>
      <c r="P35" s="9"/>
      <c r="Q35" s="11"/>
      <c r="R35" s="230"/>
      <c r="S35" s="228"/>
      <c r="T35" s="9"/>
      <c r="U35" s="9"/>
      <c r="V35" s="227"/>
      <c r="W35" s="228"/>
      <c r="X35" s="227"/>
      <c r="Y35" s="229"/>
      <c r="Z35" s="230"/>
      <c r="AA35" s="228"/>
      <c r="AB35" s="9"/>
      <c r="AC35" s="9"/>
      <c r="AD35" s="9"/>
      <c r="AE35" s="11"/>
      <c r="AF35" s="10"/>
      <c r="AG35" s="227"/>
      <c r="AH35" s="228"/>
      <c r="AI35" s="9"/>
      <c r="AJ35" s="9"/>
      <c r="AK35" s="227"/>
      <c r="AL35" s="229"/>
      <c r="AM35" s="212">
        <f t="shared" si="2"/>
        <v>0</v>
      </c>
      <c r="AN35" s="213"/>
      <c r="AO35" s="212">
        <f t="shared" si="3"/>
        <v>23</v>
      </c>
      <c r="AP35" s="213"/>
      <c r="AQ35" s="214" t="s">
        <v>5</v>
      </c>
      <c r="AR35" s="215"/>
      <c r="AS35" s="215"/>
      <c r="AT35" s="215"/>
      <c r="AU35" s="216"/>
      <c r="AW35" s="8"/>
      <c r="AY35" s="7"/>
    </row>
    <row r="36" spans="1:51" ht="19.899999999999999" customHeight="1">
      <c r="A36" s="220">
        <v>7</v>
      </c>
      <c r="B36" s="221"/>
      <c r="C36" s="231" t="s">
        <v>115</v>
      </c>
      <c r="D36" s="232"/>
      <c r="E36" s="233"/>
      <c r="F36" s="230"/>
      <c r="G36" s="228"/>
      <c r="H36" s="9"/>
      <c r="I36" s="9"/>
      <c r="J36" s="9"/>
      <c r="K36" s="11"/>
      <c r="L36" s="230"/>
      <c r="M36" s="228"/>
      <c r="N36" s="9"/>
      <c r="O36" s="9"/>
      <c r="P36" s="9"/>
      <c r="Q36" s="11"/>
      <c r="R36" s="230"/>
      <c r="S36" s="228"/>
      <c r="T36" s="9"/>
      <c r="U36" s="9"/>
      <c r="V36" s="227"/>
      <c r="W36" s="228"/>
      <c r="X36" s="227"/>
      <c r="Y36" s="229"/>
      <c r="Z36" s="230"/>
      <c r="AA36" s="228"/>
      <c r="AB36" s="9"/>
      <c r="AC36" s="9"/>
      <c r="AD36" s="9"/>
      <c r="AE36" s="11"/>
      <c r="AF36" s="10"/>
      <c r="AG36" s="227"/>
      <c r="AH36" s="228"/>
      <c r="AI36" s="9"/>
      <c r="AJ36" s="9"/>
      <c r="AK36" s="227"/>
      <c r="AL36" s="229"/>
      <c r="AM36" s="212">
        <f t="shared" si="2"/>
        <v>0</v>
      </c>
      <c r="AN36" s="213"/>
      <c r="AO36" s="212">
        <f t="shared" si="3"/>
        <v>23</v>
      </c>
      <c r="AP36" s="213"/>
      <c r="AQ36" s="214" t="s">
        <v>5</v>
      </c>
      <c r="AR36" s="215"/>
      <c r="AS36" s="215"/>
      <c r="AT36" s="215"/>
      <c r="AU36" s="216"/>
      <c r="AW36" s="8"/>
      <c r="AY36" s="7"/>
    </row>
    <row r="37" spans="1:51" ht="19.899999999999999" customHeight="1">
      <c r="A37" s="220">
        <v>8</v>
      </c>
      <c r="B37" s="221"/>
      <c r="C37" s="231" t="s">
        <v>116</v>
      </c>
      <c r="D37" s="232"/>
      <c r="E37" s="233"/>
      <c r="F37" s="230" t="s">
        <v>5</v>
      </c>
      <c r="G37" s="228"/>
      <c r="H37" s="9" t="s">
        <v>5</v>
      </c>
      <c r="I37" s="9" t="s">
        <v>5</v>
      </c>
      <c r="J37" s="9" t="s">
        <v>5</v>
      </c>
      <c r="K37" s="11" t="s">
        <v>5</v>
      </c>
      <c r="L37" s="230"/>
      <c r="M37" s="228"/>
      <c r="N37" s="9"/>
      <c r="O37" s="9"/>
      <c r="P37" s="9"/>
      <c r="Q37" s="11"/>
      <c r="R37" s="230"/>
      <c r="S37" s="228"/>
      <c r="T37" s="9" t="s">
        <v>132</v>
      </c>
      <c r="U37" s="9" t="s">
        <v>132</v>
      </c>
      <c r="V37" s="227"/>
      <c r="W37" s="228"/>
      <c r="X37" s="227"/>
      <c r="Y37" s="229"/>
      <c r="Z37" s="230"/>
      <c r="AA37" s="228"/>
      <c r="AB37" s="9" t="s">
        <v>132</v>
      </c>
      <c r="AC37" s="9" t="s">
        <v>132</v>
      </c>
      <c r="AD37" s="9"/>
      <c r="AE37" s="11"/>
      <c r="AF37" s="10"/>
      <c r="AG37" s="227"/>
      <c r="AH37" s="228"/>
      <c r="AI37" s="9"/>
      <c r="AJ37" s="9"/>
      <c r="AK37" s="227"/>
      <c r="AL37" s="229"/>
      <c r="AM37" s="212">
        <f t="shared" si="2"/>
        <v>4</v>
      </c>
      <c r="AN37" s="213"/>
      <c r="AO37" s="212">
        <f t="shared" si="3"/>
        <v>19</v>
      </c>
      <c r="AP37" s="213"/>
      <c r="AQ37" s="214" t="s">
        <v>5</v>
      </c>
      <c r="AR37" s="215"/>
      <c r="AS37" s="215"/>
      <c r="AT37" s="215"/>
      <c r="AU37" s="216"/>
      <c r="AW37" s="8"/>
      <c r="AY37" s="7"/>
    </row>
    <row r="38" spans="1:51" ht="19.899999999999999" customHeight="1">
      <c r="A38" s="220">
        <v>9</v>
      </c>
      <c r="B38" s="221"/>
      <c r="C38" s="231" t="s">
        <v>117</v>
      </c>
      <c r="D38" s="232"/>
      <c r="E38" s="233"/>
      <c r="F38" s="230" t="s">
        <v>5</v>
      </c>
      <c r="G38" s="228"/>
      <c r="H38" s="9" t="s">
        <v>5</v>
      </c>
      <c r="I38" s="9" t="s">
        <v>5</v>
      </c>
      <c r="J38" s="9" t="s">
        <v>5</v>
      </c>
      <c r="K38" s="11" t="s">
        <v>5</v>
      </c>
      <c r="L38" s="230"/>
      <c r="M38" s="228"/>
      <c r="N38" s="9"/>
      <c r="O38" s="9"/>
      <c r="P38" s="9"/>
      <c r="Q38" s="11"/>
      <c r="R38" s="230"/>
      <c r="S38" s="228"/>
      <c r="T38" s="9"/>
      <c r="U38" s="9"/>
      <c r="V38" s="227" t="s">
        <v>132</v>
      </c>
      <c r="W38" s="228"/>
      <c r="X38" s="227" t="s">
        <v>132</v>
      </c>
      <c r="Y38" s="229"/>
      <c r="Z38" s="230"/>
      <c r="AA38" s="228"/>
      <c r="AB38" s="9"/>
      <c r="AC38" s="9"/>
      <c r="AD38" s="9"/>
      <c r="AE38" s="11"/>
      <c r="AF38" s="10"/>
      <c r="AG38" s="227"/>
      <c r="AH38" s="228"/>
      <c r="AI38" s="9"/>
      <c r="AJ38" s="9"/>
      <c r="AK38" s="227"/>
      <c r="AL38" s="229"/>
      <c r="AM38" s="212">
        <f t="shared" si="2"/>
        <v>2</v>
      </c>
      <c r="AN38" s="213"/>
      <c r="AO38" s="212">
        <f t="shared" si="3"/>
        <v>21</v>
      </c>
      <c r="AP38" s="213"/>
      <c r="AQ38" s="214" t="s">
        <v>5</v>
      </c>
      <c r="AR38" s="215"/>
      <c r="AS38" s="215"/>
      <c r="AT38" s="215"/>
      <c r="AU38" s="216"/>
      <c r="AW38" s="8"/>
      <c r="AY38" s="7"/>
    </row>
    <row r="39" spans="1:51" ht="19.899999999999999" customHeight="1">
      <c r="A39" s="220">
        <v>10</v>
      </c>
      <c r="B39" s="221"/>
      <c r="C39" s="231" t="s">
        <v>118</v>
      </c>
      <c r="D39" s="232"/>
      <c r="E39" s="233"/>
      <c r="F39" s="230" t="s">
        <v>5</v>
      </c>
      <c r="G39" s="228"/>
      <c r="H39" s="9" t="s">
        <v>5</v>
      </c>
      <c r="I39" s="9" t="s">
        <v>5</v>
      </c>
      <c r="J39" s="9" t="s">
        <v>5</v>
      </c>
      <c r="K39" s="11" t="s">
        <v>5</v>
      </c>
      <c r="L39" s="230"/>
      <c r="M39" s="228"/>
      <c r="N39" s="9"/>
      <c r="O39" s="9"/>
      <c r="P39" s="9"/>
      <c r="Q39" s="11"/>
      <c r="R39" s="230"/>
      <c r="S39" s="228"/>
      <c r="T39" s="9"/>
      <c r="U39" s="9"/>
      <c r="V39" s="227"/>
      <c r="W39" s="228"/>
      <c r="X39" s="227"/>
      <c r="Y39" s="229"/>
      <c r="Z39" s="230"/>
      <c r="AA39" s="228"/>
      <c r="AB39" s="9"/>
      <c r="AC39" s="9"/>
      <c r="AD39" s="9"/>
      <c r="AE39" s="11"/>
      <c r="AF39" s="10"/>
      <c r="AG39" s="227"/>
      <c r="AH39" s="228"/>
      <c r="AI39" s="9"/>
      <c r="AJ39" s="9"/>
      <c r="AK39" s="227"/>
      <c r="AL39" s="229"/>
      <c r="AM39" s="212">
        <f t="shared" si="2"/>
        <v>0</v>
      </c>
      <c r="AN39" s="213"/>
      <c r="AO39" s="212">
        <f t="shared" si="3"/>
        <v>23</v>
      </c>
      <c r="AP39" s="213"/>
      <c r="AQ39" s="214" t="s">
        <v>5</v>
      </c>
      <c r="AR39" s="215"/>
      <c r="AS39" s="215"/>
      <c r="AT39" s="215"/>
      <c r="AU39" s="216"/>
      <c r="AW39" s="8"/>
      <c r="AY39" s="7"/>
    </row>
    <row r="40" spans="1:51" ht="19.899999999999999" customHeight="1">
      <c r="A40" s="220">
        <v>11</v>
      </c>
      <c r="B40" s="221"/>
      <c r="C40" s="231" t="s">
        <v>119</v>
      </c>
      <c r="D40" s="232"/>
      <c r="E40" s="233"/>
      <c r="F40" s="230" t="s">
        <v>5</v>
      </c>
      <c r="G40" s="228"/>
      <c r="H40" s="9" t="s">
        <v>5</v>
      </c>
      <c r="I40" s="9" t="s">
        <v>5</v>
      </c>
      <c r="J40" s="9" t="s">
        <v>5</v>
      </c>
      <c r="K40" s="11" t="s">
        <v>5</v>
      </c>
      <c r="L40" s="230"/>
      <c r="M40" s="228"/>
      <c r="N40" s="9"/>
      <c r="O40" s="9"/>
      <c r="P40" s="9"/>
      <c r="Q40" s="11"/>
      <c r="R40" s="230"/>
      <c r="S40" s="228"/>
      <c r="T40" s="9"/>
      <c r="U40" s="9"/>
      <c r="V40" s="227"/>
      <c r="W40" s="228"/>
      <c r="X40" s="227"/>
      <c r="Y40" s="229"/>
      <c r="Z40" s="230" t="s">
        <v>132</v>
      </c>
      <c r="AA40" s="228"/>
      <c r="AB40" s="9" t="s">
        <v>132</v>
      </c>
      <c r="AC40" s="9"/>
      <c r="AD40" s="9"/>
      <c r="AE40" s="11"/>
      <c r="AF40" s="10"/>
      <c r="AG40" s="227"/>
      <c r="AH40" s="228"/>
      <c r="AI40" s="9"/>
      <c r="AJ40" s="9"/>
      <c r="AK40" s="227"/>
      <c r="AL40" s="229"/>
      <c r="AM40" s="212">
        <f t="shared" si="2"/>
        <v>2</v>
      </c>
      <c r="AN40" s="213"/>
      <c r="AO40" s="212">
        <f t="shared" si="3"/>
        <v>21</v>
      </c>
      <c r="AP40" s="213"/>
      <c r="AQ40" s="214" t="s">
        <v>5</v>
      </c>
      <c r="AR40" s="215"/>
      <c r="AS40" s="215"/>
      <c r="AT40" s="215"/>
      <c r="AU40" s="216"/>
      <c r="AW40" s="8"/>
      <c r="AY40" s="7"/>
    </row>
    <row r="41" spans="1:51" ht="19.899999999999999" customHeight="1">
      <c r="A41" s="220">
        <v>12</v>
      </c>
      <c r="B41" s="221"/>
      <c r="C41" s="231" t="s">
        <v>120</v>
      </c>
      <c r="D41" s="232"/>
      <c r="E41" s="233"/>
      <c r="F41" s="230" t="s">
        <v>5</v>
      </c>
      <c r="G41" s="228"/>
      <c r="H41" s="9" t="s">
        <v>5</v>
      </c>
      <c r="I41" s="9" t="s">
        <v>5</v>
      </c>
      <c r="J41" s="9" t="s">
        <v>5</v>
      </c>
      <c r="K41" s="11" t="s">
        <v>5</v>
      </c>
      <c r="L41" s="230"/>
      <c r="M41" s="228"/>
      <c r="N41" s="9"/>
      <c r="O41" s="9"/>
      <c r="P41" s="9"/>
      <c r="Q41" s="11"/>
      <c r="R41" s="230"/>
      <c r="S41" s="228"/>
      <c r="T41" s="9"/>
      <c r="U41" s="9"/>
      <c r="V41" s="227"/>
      <c r="W41" s="228"/>
      <c r="X41" s="227"/>
      <c r="Y41" s="229"/>
      <c r="Z41" s="230"/>
      <c r="AA41" s="228"/>
      <c r="AB41" s="9"/>
      <c r="AC41" s="9"/>
      <c r="AD41" s="9"/>
      <c r="AE41" s="11"/>
      <c r="AF41" s="10"/>
      <c r="AG41" s="227"/>
      <c r="AH41" s="228"/>
      <c r="AI41" s="9"/>
      <c r="AJ41" s="9"/>
      <c r="AK41" s="227"/>
      <c r="AL41" s="229"/>
      <c r="AM41" s="212">
        <f t="shared" si="2"/>
        <v>0</v>
      </c>
      <c r="AN41" s="213"/>
      <c r="AO41" s="212">
        <f t="shared" si="3"/>
        <v>23</v>
      </c>
      <c r="AP41" s="213"/>
      <c r="AQ41" s="214" t="s">
        <v>5</v>
      </c>
      <c r="AR41" s="215"/>
      <c r="AS41" s="215"/>
      <c r="AT41" s="215"/>
      <c r="AU41" s="216"/>
      <c r="AW41" s="8"/>
      <c r="AY41" s="7"/>
    </row>
    <row r="42" spans="1:51" ht="19.899999999999999" customHeight="1">
      <c r="A42" s="220">
        <v>13</v>
      </c>
      <c r="B42" s="221"/>
      <c r="C42" s="231" t="s">
        <v>121</v>
      </c>
      <c r="D42" s="232"/>
      <c r="E42" s="233"/>
      <c r="F42" s="230" t="s">
        <v>5</v>
      </c>
      <c r="G42" s="228"/>
      <c r="H42" s="9" t="s">
        <v>5</v>
      </c>
      <c r="I42" s="9" t="s">
        <v>5</v>
      </c>
      <c r="J42" s="9" t="s">
        <v>5</v>
      </c>
      <c r="K42" s="11" t="s">
        <v>5</v>
      </c>
      <c r="L42" s="230"/>
      <c r="M42" s="228"/>
      <c r="N42" s="9"/>
      <c r="O42" s="9"/>
      <c r="P42" s="9"/>
      <c r="Q42" s="11"/>
      <c r="R42" s="230"/>
      <c r="S42" s="228"/>
      <c r="T42" s="9"/>
      <c r="U42" s="9"/>
      <c r="V42" s="227"/>
      <c r="W42" s="228"/>
      <c r="X42" s="227"/>
      <c r="Y42" s="229"/>
      <c r="Z42" s="230"/>
      <c r="AA42" s="228"/>
      <c r="AB42" s="9"/>
      <c r="AC42" s="9"/>
      <c r="AD42" s="9"/>
      <c r="AE42" s="11"/>
      <c r="AF42" s="10"/>
      <c r="AG42" s="227"/>
      <c r="AH42" s="228"/>
      <c r="AI42" s="9"/>
      <c r="AJ42" s="9"/>
      <c r="AK42" s="227"/>
      <c r="AL42" s="229"/>
      <c r="AM42" s="212">
        <f t="shared" si="2"/>
        <v>0</v>
      </c>
      <c r="AN42" s="213"/>
      <c r="AO42" s="212">
        <f t="shared" si="3"/>
        <v>23</v>
      </c>
      <c r="AP42" s="213"/>
      <c r="AQ42" s="214" t="s">
        <v>5</v>
      </c>
      <c r="AR42" s="215"/>
      <c r="AS42" s="215"/>
      <c r="AT42" s="215"/>
      <c r="AU42" s="216"/>
      <c r="AW42" s="8"/>
      <c r="AY42" s="7"/>
    </row>
    <row r="43" spans="1:51" ht="18.75" customHeight="1" thickBot="1">
      <c r="A43" s="220">
        <v>14</v>
      </c>
      <c r="B43" s="221"/>
      <c r="C43" s="231" t="s">
        <v>122</v>
      </c>
      <c r="D43" s="232"/>
      <c r="E43" s="233"/>
      <c r="F43" s="230" t="s">
        <v>5</v>
      </c>
      <c r="G43" s="228"/>
      <c r="H43" s="9" t="s">
        <v>5</v>
      </c>
      <c r="I43" s="9" t="s">
        <v>5</v>
      </c>
      <c r="J43" s="9" t="s">
        <v>5</v>
      </c>
      <c r="K43" s="11" t="s">
        <v>5</v>
      </c>
      <c r="L43" s="230"/>
      <c r="M43" s="228"/>
      <c r="N43" s="9"/>
      <c r="O43" s="9"/>
      <c r="P43" s="9"/>
      <c r="Q43" s="11"/>
      <c r="R43" s="230"/>
      <c r="S43" s="228"/>
      <c r="T43" s="9"/>
      <c r="U43" s="9"/>
      <c r="V43" s="227"/>
      <c r="W43" s="228"/>
      <c r="X43" s="227"/>
      <c r="Y43" s="229"/>
      <c r="Z43" s="230"/>
      <c r="AA43" s="228"/>
      <c r="AB43" s="9"/>
      <c r="AC43" s="9"/>
      <c r="AD43" s="9"/>
      <c r="AE43" s="11"/>
      <c r="AF43" s="10"/>
      <c r="AG43" s="227"/>
      <c r="AH43" s="228"/>
      <c r="AI43" s="9"/>
      <c r="AJ43" s="9"/>
      <c r="AK43" s="227"/>
      <c r="AL43" s="229"/>
      <c r="AM43" s="212">
        <f t="shared" si="2"/>
        <v>0</v>
      </c>
      <c r="AN43" s="213"/>
      <c r="AO43" s="212">
        <f t="shared" si="3"/>
        <v>23</v>
      </c>
      <c r="AP43" s="213"/>
      <c r="AQ43" s="214" t="s">
        <v>5</v>
      </c>
      <c r="AR43" s="215"/>
      <c r="AS43" s="215"/>
      <c r="AT43" s="215"/>
      <c r="AU43" s="216"/>
      <c r="AW43" s="8"/>
      <c r="AY43" s="7"/>
    </row>
    <row r="44" spans="1:51" ht="19.5" hidden="1" customHeight="1" thickBot="1">
      <c r="A44" s="220">
        <v>15</v>
      </c>
      <c r="B44" s="221"/>
      <c r="C44" s="222"/>
      <c r="D44" s="223"/>
      <c r="E44" s="224"/>
      <c r="F44" s="230" t="s">
        <v>5</v>
      </c>
      <c r="G44" s="228"/>
      <c r="H44" s="9" t="s">
        <v>5</v>
      </c>
      <c r="I44" s="9" t="s">
        <v>5</v>
      </c>
      <c r="J44" s="9" t="s">
        <v>5</v>
      </c>
      <c r="K44" s="11" t="s">
        <v>5</v>
      </c>
      <c r="L44" s="230"/>
      <c r="M44" s="228"/>
      <c r="N44" s="9"/>
      <c r="O44" s="9"/>
      <c r="P44" s="9"/>
      <c r="Q44" s="11"/>
      <c r="R44" s="230"/>
      <c r="S44" s="228"/>
      <c r="T44" s="9"/>
      <c r="U44" s="9"/>
      <c r="V44" s="227"/>
      <c r="W44" s="228"/>
      <c r="X44" s="227"/>
      <c r="Y44" s="229"/>
      <c r="Z44" s="230"/>
      <c r="AA44" s="228"/>
      <c r="AB44" s="9"/>
      <c r="AC44" s="9"/>
      <c r="AD44" s="9"/>
      <c r="AE44" s="11"/>
      <c r="AF44" s="10"/>
      <c r="AG44" s="227"/>
      <c r="AH44" s="228"/>
      <c r="AI44" s="9"/>
      <c r="AJ44" s="9"/>
      <c r="AK44" s="227"/>
      <c r="AL44" s="229"/>
      <c r="AM44" s="212">
        <f t="shared" si="2"/>
        <v>0</v>
      </c>
      <c r="AN44" s="213"/>
      <c r="AO44" s="212">
        <f t="shared" si="3"/>
        <v>23</v>
      </c>
      <c r="AP44" s="213"/>
      <c r="AQ44" s="214" t="s">
        <v>5</v>
      </c>
      <c r="AR44" s="215"/>
      <c r="AS44" s="215"/>
      <c r="AT44" s="215"/>
      <c r="AU44" s="216"/>
      <c r="AW44" s="8"/>
      <c r="AY44" s="7"/>
    </row>
    <row r="45" spans="1:51" ht="19.5" hidden="1" customHeight="1" thickBot="1">
      <c r="A45" s="220">
        <v>16</v>
      </c>
      <c r="B45" s="221"/>
      <c r="C45" s="222"/>
      <c r="D45" s="223"/>
      <c r="E45" s="224"/>
      <c r="F45" s="230" t="s">
        <v>5</v>
      </c>
      <c r="G45" s="228"/>
      <c r="H45" s="9" t="s">
        <v>5</v>
      </c>
      <c r="I45" s="9" t="s">
        <v>5</v>
      </c>
      <c r="J45" s="9" t="s">
        <v>5</v>
      </c>
      <c r="K45" s="11" t="s">
        <v>5</v>
      </c>
      <c r="L45" s="230"/>
      <c r="M45" s="228"/>
      <c r="N45" s="9"/>
      <c r="O45" s="9"/>
      <c r="P45" s="9"/>
      <c r="Q45" s="11"/>
      <c r="R45" s="230"/>
      <c r="S45" s="228"/>
      <c r="T45" s="9"/>
      <c r="U45" s="9"/>
      <c r="V45" s="227"/>
      <c r="W45" s="228"/>
      <c r="X45" s="227"/>
      <c r="Y45" s="229"/>
      <c r="Z45" s="230"/>
      <c r="AA45" s="228"/>
      <c r="AB45" s="9"/>
      <c r="AC45" s="9"/>
      <c r="AD45" s="9"/>
      <c r="AE45" s="11"/>
      <c r="AF45" s="10"/>
      <c r="AG45" s="227"/>
      <c r="AH45" s="228"/>
      <c r="AI45" s="9"/>
      <c r="AJ45" s="9"/>
      <c r="AK45" s="227"/>
      <c r="AL45" s="229"/>
      <c r="AM45" s="212">
        <f t="shared" si="2"/>
        <v>0</v>
      </c>
      <c r="AN45" s="213"/>
      <c r="AO45" s="212">
        <f t="shared" si="3"/>
        <v>23</v>
      </c>
      <c r="AP45" s="213"/>
      <c r="AQ45" s="214" t="s">
        <v>5</v>
      </c>
      <c r="AR45" s="215"/>
      <c r="AS45" s="215"/>
      <c r="AT45" s="215"/>
      <c r="AU45" s="216"/>
      <c r="AW45" s="8"/>
      <c r="AY45" s="7"/>
    </row>
    <row r="46" spans="1:51" ht="19.5" hidden="1" customHeight="1" thickBot="1">
      <c r="A46" s="220">
        <v>17</v>
      </c>
      <c r="B46" s="221"/>
      <c r="C46" s="222"/>
      <c r="D46" s="223"/>
      <c r="E46" s="224"/>
      <c r="F46" s="230" t="s">
        <v>5</v>
      </c>
      <c r="G46" s="228"/>
      <c r="H46" s="9" t="s">
        <v>5</v>
      </c>
      <c r="I46" s="9" t="s">
        <v>5</v>
      </c>
      <c r="J46" s="9" t="s">
        <v>5</v>
      </c>
      <c r="K46" s="11" t="s">
        <v>5</v>
      </c>
      <c r="L46" s="230"/>
      <c r="M46" s="228"/>
      <c r="N46" s="9"/>
      <c r="O46" s="9"/>
      <c r="P46" s="9"/>
      <c r="Q46" s="11"/>
      <c r="R46" s="230"/>
      <c r="S46" s="228"/>
      <c r="T46" s="9"/>
      <c r="U46" s="9"/>
      <c r="V46" s="227"/>
      <c r="W46" s="228"/>
      <c r="X46" s="227"/>
      <c r="Y46" s="229"/>
      <c r="Z46" s="230"/>
      <c r="AA46" s="228"/>
      <c r="AB46" s="9"/>
      <c r="AC46" s="9"/>
      <c r="AD46" s="9"/>
      <c r="AE46" s="11"/>
      <c r="AF46" s="10"/>
      <c r="AG46" s="227"/>
      <c r="AH46" s="228"/>
      <c r="AI46" s="9"/>
      <c r="AJ46" s="9"/>
      <c r="AK46" s="227"/>
      <c r="AL46" s="229"/>
      <c r="AM46" s="212">
        <f t="shared" si="2"/>
        <v>0</v>
      </c>
      <c r="AN46" s="213"/>
      <c r="AO46" s="212">
        <f t="shared" si="3"/>
        <v>23</v>
      </c>
      <c r="AP46" s="213"/>
      <c r="AQ46" s="214" t="s">
        <v>5</v>
      </c>
      <c r="AR46" s="215"/>
      <c r="AS46" s="215"/>
      <c r="AT46" s="215"/>
      <c r="AU46" s="216"/>
      <c r="AW46" s="8"/>
      <c r="AY46" s="7"/>
    </row>
    <row r="47" spans="1:51" ht="19.5" hidden="1" customHeight="1" thickBot="1">
      <c r="A47" s="220">
        <v>18</v>
      </c>
      <c r="B47" s="221"/>
      <c r="C47" s="222"/>
      <c r="D47" s="223"/>
      <c r="E47" s="224"/>
      <c r="F47" s="230" t="s">
        <v>5</v>
      </c>
      <c r="G47" s="228"/>
      <c r="H47" s="9" t="s">
        <v>5</v>
      </c>
      <c r="I47" s="9" t="s">
        <v>5</v>
      </c>
      <c r="J47" s="9" t="s">
        <v>5</v>
      </c>
      <c r="K47" s="11" t="s">
        <v>5</v>
      </c>
      <c r="L47" s="230"/>
      <c r="M47" s="228"/>
      <c r="N47" s="9"/>
      <c r="O47" s="9"/>
      <c r="P47" s="9"/>
      <c r="Q47" s="11"/>
      <c r="R47" s="230"/>
      <c r="S47" s="228"/>
      <c r="T47" s="9"/>
      <c r="U47" s="9"/>
      <c r="V47" s="227"/>
      <c r="W47" s="228"/>
      <c r="X47" s="227"/>
      <c r="Y47" s="229"/>
      <c r="Z47" s="230"/>
      <c r="AA47" s="228"/>
      <c r="AB47" s="9"/>
      <c r="AC47" s="9"/>
      <c r="AD47" s="9"/>
      <c r="AE47" s="11"/>
      <c r="AF47" s="10"/>
      <c r="AG47" s="227"/>
      <c r="AH47" s="228"/>
      <c r="AI47" s="9"/>
      <c r="AJ47" s="9"/>
      <c r="AK47" s="227"/>
      <c r="AL47" s="229"/>
      <c r="AM47" s="212">
        <f t="shared" si="2"/>
        <v>0</v>
      </c>
      <c r="AN47" s="213"/>
      <c r="AO47" s="212">
        <f t="shared" si="3"/>
        <v>23</v>
      </c>
      <c r="AP47" s="213"/>
      <c r="AQ47" s="214" t="s">
        <v>5</v>
      </c>
      <c r="AR47" s="215"/>
      <c r="AS47" s="215"/>
      <c r="AT47" s="215"/>
      <c r="AU47" s="216"/>
      <c r="AW47" s="8"/>
      <c r="AY47" s="7"/>
    </row>
    <row r="48" spans="1:51" ht="19.5" hidden="1" customHeight="1" thickBot="1">
      <c r="A48" s="220">
        <v>19</v>
      </c>
      <c r="B48" s="221"/>
      <c r="C48" s="222"/>
      <c r="D48" s="223"/>
      <c r="E48" s="224"/>
      <c r="F48" s="225" t="s">
        <v>5</v>
      </c>
      <c r="G48" s="198"/>
      <c r="H48" s="16" t="s">
        <v>5</v>
      </c>
      <c r="I48" s="16" t="s">
        <v>5</v>
      </c>
      <c r="J48" s="16" t="s">
        <v>5</v>
      </c>
      <c r="K48" s="17" t="s">
        <v>5</v>
      </c>
      <c r="L48" s="226"/>
      <c r="M48" s="210"/>
      <c r="N48" s="16"/>
      <c r="O48" s="16"/>
      <c r="P48" s="16"/>
      <c r="Q48" s="17"/>
      <c r="R48" s="226"/>
      <c r="S48" s="210"/>
      <c r="T48" s="16"/>
      <c r="U48" s="16"/>
      <c r="V48" s="209"/>
      <c r="W48" s="210"/>
      <c r="X48" s="209"/>
      <c r="Y48" s="211"/>
      <c r="Z48" s="226"/>
      <c r="AA48" s="210"/>
      <c r="AB48" s="16"/>
      <c r="AC48" s="16"/>
      <c r="AD48" s="16"/>
      <c r="AE48" s="17"/>
      <c r="AF48" s="15"/>
      <c r="AG48" s="209"/>
      <c r="AH48" s="210"/>
      <c r="AI48" s="16"/>
      <c r="AJ48" s="16"/>
      <c r="AK48" s="209"/>
      <c r="AL48" s="211"/>
      <c r="AM48" s="212">
        <f t="shared" si="2"/>
        <v>0</v>
      </c>
      <c r="AN48" s="213"/>
      <c r="AO48" s="212">
        <f t="shared" si="3"/>
        <v>23</v>
      </c>
      <c r="AP48" s="213"/>
      <c r="AQ48" s="214" t="s">
        <v>5</v>
      </c>
      <c r="AR48" s="215"/>
      <c r="AS48" s="215"/>
      <c r="AT48" s="215"/>
      <c r="AU48" s="216"/>
      <c r="AW48" s="217" t="s">
        <v>75</v>
      </c>
      <c r="AX48" s="218"/>
      <c r="AY48" s="219"/>
    </row>
    <row r="49" spans="1:51" ht="19.899999999999999" customHeight="1" thickTop="1" thickBot="1">
      <c r="A49" s="187">
        <v>14</v>
      </c>
      <c r="B49" s="188"/>
      <c r="C49" s="205" t="s">
        <v>22</v>
      </c>
      <c r="D49" s="206"/>
      <c r="E49" s="206"/>
      <c r="F49" s="207"/>
      <c r="G49" s="208"/>
      <c r="H49" s="28"/>
      <c r="I49" s="28">
        <v>14</v>
      </c>
      <c r="J49" s="28">
        <v>14</v>
      </c>
      <c r="K49" s="28">
        <v>14</v>
      </c>
      <c r="L49" s="200">
        <f>((19)-(COUNTIF(L30:M48,"X")))</f>
        <v>19</v>
      </c>
      <c r="M49" s="208"/>
      <c r="N49" s="28">
        <v>14</v>
      </c>
      <c r="O49" s="28">
        <v>14</v>
      </c>
      <c r="P49" s="28">
        <v>14</v>
      </c>
      <c r="Q49" s="28">
        <v>14</v>
      </c>
      <c r="R49" s="200">
        <v>14</v>
      </c>
      <c r="S49" s="208"/>
      <c r="T49" s="28">
        <v>13</v>
      </c>
      <c r="U49" s="28">
        <v>13</v>
      </c>
      <c r="V49" s="200">
        <v>13</v>
      </c>
      <c r="W49" s="208"/>
      <c r="X49" s="200">
        <v>13</v>
      </c>
      <c r="Y49" s="169"/>
      <c r="Z49" s="201">
        <v>13</v>
      </c>
      <c r="AA49" s="193"/>
      <c r="AB49" s="18">
        <v>12</v>
      </c>
      <c r="AC49" s="18">
        <v>13</v>
      </c>
      <c r="AD49" s="18">
        <v>14</v>
      </c>
      <c r="AE49" s="21">
        <v>14</v>
      </c>
      <c r="AF49" s="22">
        <v>14</v>
      </c>
      <c r="AG49" s="202">
        <v>14</v>
      </c>
      <c r="AH49" s="202"/>
      <c r="AI49" s="23">
        <v>14</v>
      </c>
      <c r="AJ49" s="23">
        <v>14</v>
      </c>
      <c r="AK49" s="203"/>
      <c r="AL49" s="204"/>
      <c r="AM49" s="170">
        <f>SUM(AM30:AN48)</f>
        <v>11</v>
      </c>
      <c r="AN49" s="171"/>
      <c r="AO49" s="172">
        <v>311</v>
      </c>
      <c r="AP49" s="171"/>
      <c r="AQ49" s="173" t="s">
        <v>5</v>
      </c>
      <c r="AR49" s="174"/>
      <c r="AS49" s="174"/>
      <c r="AT49" s="174"/>
      <c r="AU49" s="175"/>
      <c r="AW49" s="12">
        <f>AW29</f>
        <v>23</v>
      </c>
      <c r="AX49" s="40">
        <v>14</v>
      </c>
      <c r="AY49" s="7">
        <f>AW49*AX49</f>
        <v>322</v>
      </c>
    </row>
    <row r="50" spans="1:51" ht="19.899999999999999" customHeight="1" thickBot="1">
      <c r="A50" s="187">
        <v>27</v>
      </c>
      <c r="B50" s="188"/>
      <c r="C50" s="189" t="s">
        <v>23</v>
      </c>
      <c r="D50" s="190"/>
      <c r="E50" s="191"/>
      <c r="F50" s="192">
        <f>F49+F29</f>
        <v>0</v>
      </c>
      <c r="G50" s="193"/>
      <c r="H50" s="27">
        <f>H49+H29</f>
        <v>0</v>
      </c>
      <c r="I50" s="27">
        <f>I49+I29</f>
        <v>27</v>
      </c>
      <c r="J50" s="27">
        <f>J49+J29</f>
        <v>27</v>
      </c>
      <c r="K50" s="27">
        <f>K29+K49</f>
        <v>27</v>
      </c>
      <c r="L50" s="194">
        <f>L29+L49</f>
        <v>32</v>
      </c>
      <c r="M50" s="195"/>
      <c r="N50" s="27">
        <f>N29+N49</f>
        <v>27</v>
      </c>
      <c r="O50" s="27">
        <f>O29+O49</f>
        <v>27</v>
      </c>
      <c r="P50" s="27">
        <f>P29+P49</f>
        <v>27</v>
      </c>
      <c r="Q50" s="27">
        <f>Q29+Q49</f>
        <v>27</v>
      </c>
      <c r="R50" s="194">
        <f>R29+R49</f>
        <v>26</v>
      </c>
      <c r="S50" s="195"/>
      <c r="T50" s="27">
        <f>T29+T49</f>
        <v>22</v>
      </c>
      <c r="U50" s="27">
        <f>U29+U49</f>
        <v>23</v>
      </c>
      <c r="V50" s="194">
        <f>V29+V49</f>
        <v>25</v>
      </c>
      <c r="W50" s="195"/>
      <c r="X50" s="194">
        <f>X29+X49</f>
        <v>26</v>
      </c>
      <c r="Y50" s="196"/>
      <c r="Z50" s="197">
        <f>Z29+Z49</f>
        <v>25</v>
      </c>
      <c r="AA50" s="198"/>
      <c r="AB50" s="19">
        <f t="shared" ref="AB50:AG50" si="4">AB29+AB49</f>
        <v>23</v>
      </c>
      <c r="AC50" s="19">
        <f t="shared" si="4"/>
        <v>26</v>
      </c>
      <c r="AD50" s="20">
        <f t="shared" si="4"/>
        <v>27</v>
      </c>
      <c r="AE50" s="24">
        <f t="shared" si="4"/>
        <v>27</v>
      </c>
      <c r="AF50" s="25">
        <f t="shared" si="4"/>
        <v>27</v>
      </c>
      <c r="AG50" s="199">
        <f t="shared" si="4"/>
        <v>27</v>
      </c>
      <c r="AH50" s="199"/>
      <c r="AI50" s="26">
        <f>AI49+AI29</f>
        <v>27</v>
      </c>
      <c r="AJ50" s="26">
        <f>AJ49+AJ29</f>
        <v>27</v>
      </c>
      <c r="AK50" s="168"/>
      <c r="AL50" s="169"/>
      <c r="AM50" s="170">
        <f>AM29+AM49</f>
        <v>23</v>
      </c>
      <c r="AN50" s="171"/>
      <c r="AO50" s="172">
        <v>598</v>
      </c>
      <c r="AP50" s="171"/>
      <c r="AQ50" s="173" t="s">
        <v>5</v>
      </c>
      <c r="AR50" s="174"/>
      <c r="AS50" s="174"/>
      <c r="AT50" s="174"/>
      <c r="AU50" s="175"/>
      <c r="AW50" s="6"/>
      <c r="AX50" s="5"/>
      <c r="AY50" s="4"/>
    </row>
    <row r="51" spans="1:51" ht="10.15" customHeight="1">
      <c r="A51" s="176" t="s">
        <v>24</v>
      </c>
      <c r="B51" s="72"/>
      <c r="C51" s="72"/>
      <c r="D51" s="72"/>
      <c r="E51" s="72"/>
      <c r="F51" s="72"/>
      <c r="G51" s="72"/>
      <c r="H51" s="72"/>
      <c r="I51" s="72"/>
      <c r="J51" s="72"/>
      <c r="K51" s="72"/>
      <c r="L51" s="72"/>
      <c r="M51" s="72"/>
      <c r="N51" s="72"/>
      <c r="O51" s="72"/>
      <c r="P51" s="72"/>
      <c r="Q51" s="72"/>
      <c r="R51" s="72"/>
      <c r="S51" s="72"/>
      <c r="T51" s="72"/>
      <c r="U51" s="72"/>
      <c r="V51" s="72"/>
      <c r="W51" s="72"/>
      <c r="X51" s="72"/>
      <c r="Y51" s="1"/>
      <c r="Z51" s="82" t="s">
        <v>25</v>
      </c>
      <c r="AA51" s="83"/>
      <c r="AB51" s="83"/>
      <c r="AC51" s="83"/>
      <c r="AD51" s="83"/>
      <c r="AE51" s="83"/>
      <c r="AF51" s="83"/>
      <c r="AG51" s="83"/>
      <c r="AH51" s="83"/>
      <c r="AI51" s="83"/>
      <c r="AJ51" s="83"/>
      <c r="AK51" s="84"/>
      <c r="AL51" s="1"/>
      <c r="AM51" s="177" t="s">
        <v>26</v>
      </c>
      <c r="AN51" s="178"/>
      <c r="AO51" s="179"/>
      <c r="AP51" s="177" t="s">
        <v>27</v>
      </c>
      <c r="AQ51" s="179"/>
      <c r="AR51" s="183" t="s">
        <v>28</v>
      </c>
      <c r="AS51" s="184"/>
      <c r="AT51" s="184"/>
      <c r="AU51" s="185"/>
    </row>
    <row r="52" spans="1:51" ht="10.15" customHeight="1" thickBot="1">
      <c r="A52" s="186" t="s">
        <v>29</v>
      </c>
      <c r="B52" s="72"/>
      <c r="C52" s="72"/>
      <c r="D52" s="72"/>
      <c r="E52" s="72"/>
      <c r="F52" s="72"/>
      <c r="G52" s="72"/>
      <c r="H52" s="72"/>
      <c r="I52" s="72"/>
      <c r="J52" s="72"/>
      <c r="K52" s="72"/>
      <c r="L52" s="72"/>
      <c r="M52" s="72"/>
      <c r="N52" s="72"/>
      <c r="O52" s="72"/>
      <c r="P52" s="72"/>
      <c r="Q52" s="72"/>
      <c r="R52" s="72"/>
      <c r="S52" s="72"/>
      <c r="T52" s="72"/>
      <c r="U52" s="72"/>
      <c r="V52" s="72"/>
      <c r="W52" s="72"/>
      <c r="X52" s="72"/>
      <c r="Y52" s="1"/>
      <c r="Z52" s="150" t="s">
        <v>30</v>
      </c>
      <c r="AA52" s="151"/>
      <c r="AB52" s="151"/>
      <c r="AC52" s="151"/>
      <c r="AD52" s="151"/>
      <c r="AE52" s="151"/>
      <c r="AF52" s="151"/>
      <c r="AG52" s="151"/>
      <c r="AH52" s="151"/>
      <c r="AI52" s="151"/>
      <c r="AJ52" s="151"/>
      <c r="AK52" s="152"/>
      <c r="AL52" s="1"/>
      <c r="AM52" s="180"/>
      <c r="AN52" s="181"/>
      <c r="AO52" s="182"/>
      <c r="AP52" s="180"/>
      <c r="AQ52" s="182"/>
      <c r="AR52" s="3" t="s">
        <v>14</v>
      </c>
      <c r="AS52" s="3" t="s">
        <v>18</v>
      </c>
      <c r="AT52" s="153" t="s">
        <v>31</v>
      </c>
      <c r="AU52" s="154"/>
    </row>
    <row r="53" spans="1:51" ht="10.15" customHeight="1">
      <c r="A53" s="72"/>
      <c r="B53" s="72"/>
      <c r="C53" s="72"/>
      <c r="D53" s="72"/>
      <c r="E53" s="72"/>
      <c r="F53" s="72"/>
      <c r="G53" s="72"/>
      <c r="H53" s="72"/>
      <c r="I53" s="72"/>
      <c r="J53" s="72"/>
      <c r="K53" s="72"/>
      <c r="L53" s="72"/>
      <c r="M53" s="72"/>
      <c r="N53" s="72"/>
      <c r="O53" s="72"/>
      <c r="P53" s="72"/>
      <c r="Q53" s="72"/>
      <c r="R53" s="72"/>
      <c r="S53" s="72"/>
      <c r="T53" s="72"/>
      <c r="U53" s="72"/>
      <c r="V53" s="72"/>
      <c r="W53" s="72"/>
      <c r="X53" s="72"/>
      <c r="Y53" s="1"/>
      <c r="Z53" s="150"/>
      <c r="AA53" s="151"/>
      <c r="AB53" s="151"/>
      <c r="AC53" s="151"/>
      <c r="AD53" s="151"/>
      <c r="AE53" s="151"/>
      <c r="AF53" s="151"/>
      <c r="AG53" s="151"/>
      <c r="AH53" s="151"/>
      <c r="AI53" s="151"/>
      <c r="AJ53" s="151"/>
      <c r="AK53" s="152"/>
      <c r="AL53" s="1"/>
      <c r="AM53" s="155" t="s">
        <v>32</v>
      </c>
      <c r="AN53" s="156"/>
      <c r="AO53" s="156"/>
      <c r="AP53" s="156"/>
      <c r="AQ53" s="157"/>
      <c r="AR53" s="161">
        <v>12</v>
      </c>
      <c r="AS53" s="140">
        <v>14</v>
      </c>
      <c r="AT53" s="60">
        <f>AR53+AS53</f>
        <v>26</v>
      </c>
      <c r="AU53" s="61"/>
    </row>
    <row r="54" spans="1:51" ht="4.9000000000000004" customHeight="1">
      <c r="A54" s="72"/>
      <c r="B54" s="72"/>
      <c r="C54" s="72"/>
      <c r="D54" s="72"/>
      <c r="E54" s="72"/>
      <c r="F54" s="72"/>
      <c r="G54" s="72"/>
      <c r="H54" s="72"/>
      <c r="I54" s="72"/>
      <c r="J54" s="72"/>
      <c r="K54" s="72"/>
      <c r="L54" s="72"/>
      <c r="M54" s="72"/>
      <c r="N54" s="72"/>
      <c r="O54" s="72"/>
      <c r="P54" s="72"/>
      <c r="Q54" s="72"/>
      <c r="R54" s="72"/>
      <c r="S54" s="72"/>
      <c r="T54" s="72"/>
      <c r="U54" s="72"/>
      <c r="V54" s="72"/>
      <c r="W54" s="72"/>
      <c r="X54" s="72"/>
      <c r="Y54" s="1"/>
      <c r="Z54" s="82" t="s">
        <v>33</v>
      </c>
      <c r="AA54" s="83"/>
      <c r="AB54" s="83"/>
      <c r="AC54" s="83"/>
      <c r="AD54" s="83"/>
      <c r="AE54" s="83"/>
      <c r="AF54" s="83"/>
      <c r="AG54" s="83"/>
      <c r="AH54" s="83"/>
      <c r="AI54" s="83"/>
      <c r="AJ54" s="83"/>
      <c r="AK54" s="84"/>
      <c r="AL54" s="1"/>
      <c r="AM54" s="158"/>
      <c r="AN54" s="159"/>
      <c r="AO54" s="159"/>
      <c r="AP54" s="159"/>
      <c r="AQ54" s="160"/>
      <c r="AR54" s="162"/>
      <c r="AS54" s="142"/>
      <c r="AT54" s="103"/>
      <c r="AU54" s="104"/>
    </row>
    <row r="55" spans="1:51" ht="4.9000000000000004" customHeight="1">
      <c r="A55" s="72"/>
      <c r="B55" s="72"/>
      <c r="C55" s="72"/>
      <c r="D55" s="72"/>
      <c r="E55" s="72"/>
      <c r="F55" s="72"/>
      <c r="G55" s="72"/>
      <c r="H55" s="72"/>
      <c r="I55" s="72"/>
      <c r="J55" s="72"/>
      <c r="K55" s="72"/>
      <c r="L55" s="72"/>
      <c r="M55" s="72"/>
      <c r="N55" s="72"/>
      <c r="O55" s="72"/>
      <c r="P55" s="72"/>
      <c r="Q55" s="72"/>
      <c r="R55" s="72"/>
      <c r="S55" s="72"/>
      <c r="T55" s="72"/>
      <c r="U55" s="72"/>
      <c r="V55" s="72"/>
      <c r="W55" s="72"/>
      <c r="X55" s="72"/>
      <c r="Y55" s="1"/>
      <c r="Z55" s="82"/>
      <c r="AA55" s="83"/>
      <c r="AB55" s="83"/>
      <c r="AC55" s="83"/>
      <c r="AD55" s="83"/>
      <c r="AE55" s="83"/>
      <c r="AF55" s="83"/>
      <c r="AG55" s="83"/>
      <c r="AH55" s="83"/>
      <c r="AI55" s="83"/>
      <c r="AJ55" s="83"/>
      <c r="AK55" s="84"/>
      <c r="AL55" s="1"/>
      <c r="AM55" s="163" t="s">
        <v>34</v>
      </c>
      <c r="AN55" s="164"/>
      <c r="AO55" s="165"/>
      <c r="AP55" s="166" t="s">
        <v>35</v>
      </c>
      <c r="AQ55" s="167"/>
      <c r="AR55" s="140">
        <v>0</v>
      </c>
      <c r="AS55" s="140">
        <v>0</v>
      </c>
      <c r="AT55" s="143">
        <v>0</v>
      </c>
      <c r="AU55" s="144"/>
    </row>
    <row r="56" spans="1:51" ht="7.9" customHeight="1">
      <c r="A56" s="1"/>
      <c r="B56" s="133" t="s">
        <v>36</v>
      </c>
      <c r="C56" s="72"/>
      <c r="D56" s="72"/>
      <c r="E56" s="72"/>
      <c r="F56" s="72"/>
      <c r="G56" s="149" t="s">
        <v>37</v>
      </c>
      <c r="H56" s="149"/>
      <c r="I56" s="149"/>
      <c r="J56" s="149"/>
      <c r="K56" s="149"/>
      <c r="L56" s="149"/>
      <c r="M56" s="149"/>
      <c r="N56" s="149"/>
      <c r="O56" s="149"/>
      <c r="P56" s="149"/>
      <c r="Q56" s="149"/>
      <c r="R56" s="149"/>
      <c r="S56" s="149"/>
      <c r="T56" s="119" t="s">
        <v>38</v>
      </c>
      <c r="U56" s="72"/>
      <c r="V56" s="72"/>
      <c r="W56" s="1"/>
      <c r="X56" s="1"/>
      <c r="Y56" s="1"/>
      <c r="Z56" s="82" t="s">
        <v>39</v>
      </c>
      <c r="AA56" s="83"/>
      <c r="AB56" s="83"/>
      <c r="AC56" s="83"/>
      <c r="AD56" s="83"/>
      <c r="AE56" s="83"/>
      <c r="AF56" s="83"/>
      <c r="AG56" s="83"/>
      <c r="AH56" s="83"/>
      <c r="AI56" s="83"/>
      <c r="AJ56" s="83"/>
      <c r="AK56" s="84"/>
      <c r="AL56" s="1"/>
      <c r="AM56" s="163"/>
      <c r="AN56" s="164"/>
      <c r="AO56" s="165"/>
      <c r="AP56" s="166"/>
      <c r="AQ56" s="167"/>
      <c r="AR56" s="141"/>
      <c r="AS56" s="141"/>
      <c r="AT56" s="145"/>
      <c r="AU56" s="146"/>
    </row>
    <row r="57" spans="1:51" ht="1.9" customHeight="1">
      <c r="A57" s="1"/>
      <c r="B57" s="72"/>
      <c r="C57" s="72"/>
      <c r="D57" s="72"/>
      <c r="E57" s="72"/>
      <c r="F57" s="72"/>
      <c r="G57" s="134"/>
      <c r="H57" s="134"/>
      <c r="I57" s="134"/>
      <c r="J57" s="134"/>
      <c r="K57" s="134"/>
      <c r="L57" s="134"/>
      <c r="M57" s="134"/>
      <c r="N57" s="134"/>
      <c r="O57" s="134"/>
      <c r="P57" s="134"/>
      <c r="Q57" s="134"/>
      <c r="R57" s="134"/>
      <c r="S57" s="134"/>
      <c r="T57" s="72"/>
      <c r="U57" s="72"/>
      <c r="V57" s="72"/>
      <c r="W57" s="1"/>
      <c r="X57" s="1"/>
      <c r="Y57" s="1"/>
      <c r="Z57" s="82"/>
      <c r="AA57" s="83"/>
      <c r="AB57" s="83"/>
      <c r="AC57" s="83"/>
      <c r="AD57" s="83"/>
      <c r="AE57" s="83"/>
      <c r="AF57" s="83"/>
      <c r="AG57" s="83"/>
      <c r="AH57" s="83"/>
      <c r="AI57" s="83"/>
      <c r="AJ57" s="83"/>
      <c r="AK57" s="84"/>
      <c r="AL57" s="1"/>
      <c r="AM57" s="123" t="s">
        <v>40</v>
      </c>
      <c r="AN57" s="124"/>
      <c r="AO57" s="124"/>
      <c r="AP57" s="124"/>
      <c r="AQ57" s="125"/>
      <c r="AR57" s="141"/>
      <c r="AS57" s="141"/>
      <c r="AT57" s="145"/>
      <c r="AU57" s="146"/>
    </row>
    <row r="58" spans="1:51" ht="10.15" customHeight="1">
      <c r="A58" s="1"/>
      <c r="B58" s="72"/>
      <c r="C58" s="72"/>
      <c r="D58" s="72"/>
      <c r="E58" s="72"/>
      <c r="F58" s="72"/>
      <c r="G58" s="119" t="s">
        <v>41</v>
      </c>
      <c r="H58" s="72"/>
      <c r="I58" s="72"/>
      <c r="J58" s="72"/>
      <c r="K58" s="72"/>
      <c r="L58" s="72"/>
      <c r="M58" s="72"/>
      <c r="N58" s="72"/>
      <c r="O58" s="72"/>
      <c r="P58" s="72"/>
      <c r="Q58" s="72"/>
      <c r="R58" s="72"/>
      <c r="S58" s="72"/>
      <c r="T58" s="72"/>
      <c r="U58" s="72"/>
      <c r="V58" s="72"/>
      <c r="W58" s="1"/>
      <c r="X58" s="1"/>
      <c r="Y58" s="1"/>
      <c r="Z58" s="77" t="s">
        <v>42</v>
      </c>
      <c r="AA58" s="78"/>
      <c r="AB58" s="78"/>
      <c r="AC58" s="78"/>
      <c r="AD58" s="78"/>
      <c r="AE58" s="78"/>
      <c r="AF58" s="78"/>
      <c r="AG58" s="78"/>
      <c r="AH58" s="78"/>
      <c r="AI58" s="78"/>
      <c r="AJ58" s="78"/>
      <c r="AK58" s="79"/>
      <c r="AL58" s="1"/>
      <c r="AM58" s="105"/>
      <c r="AN58" s="106"/>
      <c r="AO58" s="106"/>
      <c r="AP58" s="106"/>
      <c r="AQ58" s="107"/>
      <c r="AR58" s="142"/>
      <c r="AS58" s="142"/>
      <c r="AT58" s="147"/>
      <c r="AU58" s="148"/>
    </row>
    <row r="59" spans="1:51" ht="10.15" customHeight="1">
      <c r="A59" s="1"/>
      <c r="B59" s="133" t="s">
        <v>43</v>
      </c>
      <c r="C59" s="72"/>
      <c r="D59" s="72"/>
      <c r="E59" s="72"/>
      <c r="F59" s="72"/>
      <c r="G59" s="134" t="s">
        <v>44</v>
      </c>
      <c r="H59" s="134"/>
      <c r="I59" s="134"/>
      <c r="J59" s="134"/>
      <c r="K59" s="134"/>
      <c r="L59" s="134"/>
      <c r="M59" s="134"/>
      <c r="N59" s="134"/>
      <c r="O59" s="134"/>
      <c r="P59" s="134"/>
      <c r="Q59" s="134"/>
      <c r="R59" s="134"/>
      <c r="S59" s="134"/>
      <c r="T59" s="1"/>
      <c r="U59" s="1"/>
      <c r="V59" s="1"/>
      <c r="W59" s="1"/>
      <c r="X59" s="1"/>
      <c r="Y59" s="1"/>
      <c r="Z59" s="77"/>
      <c r="AA59" s="72"/>
      <c r="AB59" s="72"/>
      <c r="AC59" s="72"/>
      <c r="AD59" s="72"/>
      <c r="AE59" s="72"/>
      <c r="AF59" s="72"/>
      <c r="AG59" s="72"/>
      <c r="AH59" s="72"/>
      <c r="AI59" s="72"/>
      <c r="AJ59" s="72"/>
      <c r="AK59" s="79"/>
      <c r="AL59" s="1"/>
      <c r="AM59" s="135" t="s">
        <v>45</v>
      </c>
      <c r="AN59" s="136"/>
      <c r="AO59" s="136"/>
      <c r="AP59" s="136"/>
      <c r="AQ59" s="137"/>
      <c r="AR59" s="66">
        <v>13</v>
      </c>
      <c r="AS59" s="66">
        <v>14</v>
      </c>
      <c r="AT59" s="60">
        <f>AR59+AS59</f>
        <v>27</v>
      </c>
      <c r="AU59" s="61"/>
    </row>
    <row r="60" spans="1:51" ht="10.15" customHeight="1">
      <c r="A60" s="1"/>
      <c r="B60" s="72"/>
      <c r="C60" s="72"/>
      <c r="D60" s="72"/>
      <c r="E60" s="72"/>
      <c r="F60" s="72"/>
      <c r="G60" s="119" t="s">
        <v>46</v>
      </c>
      <c r="H60" s="72"/>
      <c r="I60" s="72"/>
      <c r="J60" s="72"/>
      <c r="K60" s="72"/>
      <c r="L60" s="72"/>
      <c r="M60" s="72"/>
      <c r="N60" s="72"/>
      <c r="O60" s="72"/>
      <c r="P60" s="72"/>
      <c r="Q60" s="72"/>
      <c r="R60" s="72"/>
      <c r="S60" s="72"/>
      <c r="T60" s="1"/>
      <c r="U60" s="1"/>
      <c r="V60" s="1"/>
      <c r="W60" s="1"/>
      <c r="X60" s="1"/>
      <c r="Y60" s="1"/>
      <c r="Z60" s="77"/>
      <c r="AA60" s="72"/>
      <c r="AB60" s="72"/>
      <c r="AC60" s="72"/>
      <c r="AD60" s="72"/>
      <c r="AE60" s="72"/>
      <c r="AF60" s="72"/>
      <c r="AG60" s="72"/>
      <c r="AH60" s="72"/>
      <c r="AI60" s="72"/>
      <c r="AJ60" s="72"/>
      <c r="AK60" s="79"/>
      <c r="AL60" s="1"/>
      <c r="AM60" s="120" t="s">
        <v>47</v>
      </c>
      <c r="AN60" s="121"/>
      <c r="AO60" s="121"/>
      <c r="AP60" s="121"/>
      <c r="AQ60" s="122"/>
      <c r="AR60" s="102"/>
      <c r="AS60" s="102"/>
      <c r="AT60" s="103"/>
      <c r="AU60" s="104"/>
    </row>
    <row r="61" spans="1:51" ht="10.15" customHeight="1">
      <c r="A61" s="1"/>
      <c r="B61" s="133" t="s">
        <v>48</v>
      </c>
      <c r="C61" s="72"/>
      <c r="D61" s="72"/>
      <c r="E61" s="72"/>
      <c r="F61" s="72"/>
      <c r="G61" s="134" t="s">
        <v>49</v>
      </c>
      <c r="H61" s="134"/>
      <c r="I61" s="134"/>
      <c r="J61" s="134"/>
      <c r="K61" s="134"/>
      <c r="L61" s="134"/>
      <c r="M61" s="134"/>
      <c r="N61" s="134"/>
      <c r="O61" s="134"/>
      <c r="P61" s="134"/>
      <c r="Q61" s="134"/>
      <c r="R61" s="134"/>
      <c r="S61" s="134"/>
      <c r="T61" s="119" t="s">
        <v>38</v>
      </c>
      <c r="U61" s="72"/>
      <c r="V61" s="72"/>
      <c r="W61" s="1"/>
      <c r="X61" s="1"/>
      <c r="Y61" s="1"/>
      <c r="Z61" s="77"/>
      <c r="AA61" s="78"/>
      <c r="AB61" s="78"/>
      <c r="AC61" s="78"/>
      <c r="AD61" s="78"/>
      <c r="AE61" s="78"/>
      <c r="AF61" s="78"/>
      <c r="AG61" s="78"/>
      <c r="AH61" s="78"/>
      <c r="AI61" s="78"/>
      <c r="AJ61" s="78"/>
      <c r="AK61" s="79"/>
      <c r="AL61" s="1"/>
      <c r="AM61" s="135" t="s">
        <v>50</v>
      </c>
      <c r="AN61" s="136"/>
      <c r="AO61" s="136"/>
      <c r="AP61" s="136"/>
      <c r="AQ61" s="137"/>
      <c r="AR61" s="138">
        <f>AR59/AR53*100</f>
        <v>108.33333333333333</v>
      </c>
      <c r="AS61" s="138">
        <f>AS59/AS53*100</f>
        <v>100</v>
      </c>
      <c r="AT61" s="115">
        <f>AT59/AT53*100</f>
        <v>103.84615384615385</v>
      </c>
      <c r="AU61" s="116"/>
    </row>
    <row r="62" spans="1:51" ht="10.15" customHeight="1">
      <c r="A62" s="1"/>
      <c r="B62" s="72"/>
      <c r="C62" s="72"/>
      <c r="D62" s="72"/>
      <c r="E62" s="72"/>
      <c r="F62" s="72"/>
      <c r="G62" s="119" t="s">
        <v>37</v>
      </c>
      <c r="H62" s="72"/>
      <c r="I62" s="72"/>
      <c r="J62" s="72"/>
      <c r="K62" s="72"/>
      <c r="L62" s="72"/>
      <c r="M62" s="72"/>
      <c r="N62" s="72"/>
      <c r="O62" s="72"/>
      <c r="P62" s="72"/>
      <c r="Q62" s="72"/>
      <c r="R62" s="72"/>
      <c r="S62" s="72"/>
      <c r="T62" s="72"/>
      <c r="U62" s="72"/>
      <c r="V62" s="72"/>
      <c r="W62" s="1"/>
      <c r="X62" s="1"/>
      <c r="Y62" s="1"/>
      <c r="Z62" s="82" t="s">
        <v>51</v>
      </c>
      <c r="AA62" s="83"/>
      <c r="AB62" s="83"/>
      <c r="AC62" s="83"/>
      <c r="AD62" s="83"/>
      <c r="AE62" s="83"/>
      <c r="AF62" s="83"/>
      <c r="AG62" s="83"/>
      <c r="AH62" s="83"/>
      <c r="AI62" s="83"/>
      <c r="AJ62" s="83"/>
      <c r="AK62" s="84"/>
      <c r="AL62" s="1"/>
      <c r="AM62" s="120" t="s">
        <v>47</v>
      </c>
      <c r="AN62" s="121"/>
      <c r="AO62" s="121"/>
      <c r="AP62" s="121"/>
      <c r="AQ62" s="122"/>
      <c r="AR62" s="139"/>
      <c r="AS62" s="139"/>
      <c r="AT62" s="117"/>
      <c r="AU62" s="118"/>
    </row>
    <row r="63" spans="1:51" ht="10.15" customHeight="1">
      <c r="A63" s="1"/>
      <c r="B63" s="1"/>
      <c r="C63" s="1"/>
      <c r="D63" s="1"/>
      <c r="E63" s="1"/>
      <c r="F63" s="1"/>
      <c r="G63" s="1"/>
      <c r="H63" s="1"/>
      <c r="I63" s="1"/>
      <c r="J63" s="1"/>
      <c r="K63" s="1"/>
      <c r="L63" s="1"/>
      <c r="M63" s="1"/>
      <c r="N63" s="1"/>
      <c r="O63" s="1"/>
      <c r="P63" s="1"/>
      <c r="Q63" s="1"/>
      <c r="R63" s="1"/>
      <c r="S63" s="1"/>
      <c r="T63" s="1"/>
      <c r="U63" s="1"/>
      <c r="V63" s="1"/>
      <c r="W63" s="1"/>
      <c r="X63" s="1"/>
      <c r="Y63" s="1"/>
      <c r="Z63" s="77" t="s">
        <v>52</v>
      </c>
      <c r="AA63" s="78"/>
      <c r="AB63" s="78"/>
      <c r="AC63" s="78"/>
      <c r="AD63" s="78"/>
      <c r="AE63" s="78"/>
      <c r="AF63" s="78"/>
      <c r="AG63" s="78"/>
      <c r="AH63" s="78"/>
      <c r="AI63" s="78"/>
      <c r="AJ63" s="78"/>
      <c r="AK63" s="79"/>
      <c r="AL63" s="1"/>
      <c r="AM63" s="123" t="s">
        <v>53</v>
      </c>
      <c r="AN63" s="124"/>
      <c r="AO63" s="124"/>
      <c r="AP63" s="124"/>
      <c r="AQ63" s="125"/>
      <c r="AR63" s="126">
        <f>AO29/AW5</f>
        <v>12.478260869565217</v>
      </c>
      <c r="AS63" s="126">
        <f>AO49/AW5</f>
        <v>13.521739130434783</v>
      </c>
      <c r="AT63" s="128">
        <f>AO50/AW5</f>
        <v>26</v>
      </c>
      <c r="AU63" s="129"/>
    </row>
    <row r="64" spans="1:51" ht="4.9000000000000004" customHeight="1">
      <c r="A64" s="132" t="s">
        <v>54</v>
      </c>
      <c r="B64" s="72"/>
      <c r="C64" s="72"/>
      <c r="D64" s="72"/>
      <c r="E64" s="72"/>
      <c r="F64" s="72"/>
      <c r="G64" s="72"/>
      <c r="H64" s="72"/>
      <c r="I64" s="72"/>
      <c r="J64" s="72"/>
      <c r="K64" s="72"/>
      <c r="L64" s="72"/>
      <c r="M64" s="72"/>
      <c r="N64" s="72"/>
      <c r="O64" s="72"/>
      <c r="P64" s="72"/>
      <c r="Q64" s="72"/>
      <c r="R64" s="72"/>
      <c r="S64" s="72"/>
      <c r="T64" s="72"/>
      <c r="U64" s="72"/>
      <c r="V64" s="72"/>
      <c r="W64" s="72"/>
      <c r="X64" s="72"/>
      <c r="Y64" s="1"/>
      <c r="Z64" s="77"/>
      <c r="AA64" s="72"/>
      <c r="AB64" s="72"/>
      <c r="AC64" s="72"/>
      <c r="AD64" s="72"/>
      <c r="AE64" s="72"/>
      <c r="AF64" s="72"/>
      <c r="AG64" s="72"/>
      <c r="AH64" s="72"/>
      <c r="AI64" s="72"/>
      <c r="AJ64" s="72"/>
      <c r="AK64" s="79"/>
      <c r="AL64" s="1"/>
      <c r="AM64" s="105"/>
      <c r="AN64" s="106"/>
      <c r="AO64" s="106"/>
      <c r="AP64" s="106"/>
      <c r="AQ64" s="107"/>
      <c r="AR64" s="127"/>
      <c r="AS64" s="127"/>
      <c r="AT64" s="130"/>
      <c r="AU64" s="131"/>
    </row>
    <row r="65" spans="1:47" ht="15" customHeight="1">
      <c r="A65" s="72"/>
      <c r="B65" s="72"/>
      <c r="C65" s="72"/>
      <c r="D65" s="72"/>
      <c r="E65" s="72"/>
      <c r="F65" s="72"/>
      <c r="G65" s="72"/>
      <c r="H65" s="72"/>
      <c r="I65" s="72"/>
      <c r="J65" s="72"/>
      <c r="K65" s="72"/>
      <c r="L65" s="72"/>
      <c r="M65" s="72"/>
      <c r="N65" s="72"/>
      <c r="O65" s="72"/>
      <c r="P65" s="72"/>
      <c r="Q65" s="72"/>
      <c r="R65" s="72"/>
      <c r="S65" s="72"/>
      <c r="T65" s="72"/>
      <c r="U65" s="72"/>
      <c r="V65" s="72"/>
      <c r="W65" s="72"/>
      <c r="X65" s="72"/>
      <c r="Y65" s="1"/>
      <c r="Z65" s="77"/>
      <c r="AA65" s="72"/>
      <c r="AB65" s="72"/>
      <c r="AC65" s="72"/>
      <c r="AD65" s="72"/>
      <c r="AE65" s="72"/>
      <c r="AF65" s="72"/>
      <c r="AG65" s="72"/>
      <c r="AH65" s="72"/>
      <c r="AI65" s="72"/>
      <c r="AJ65" s="72"/>
      <c r="AK65" s="79"/>
      <c r="AL65" s="1"/>
      <c r="AM65" s="105" t="s">
        <v>55</v>
      </c>
      <c r="AN65" s="106"/>
      <c r="AO65" s="106"/>
      <c r="AP65" s="106"/>
      <c r="AQ65" s="107"/>
      <c r="AR65" s="38">
        <f>AR63/AR59*100</f>
        <v>95.986622073578587</v>
      </c>
      <c r="AS65" s="38">
        <f>AS63/AS59*100</f>
        <v>96.58385093167702</v>
      </c>
      <c r="AT65" s="108">
        <f>AT63/AT59*100</f>
        <v>96.296296296296291</v>
      </c>
      <c r="AU65" s="109"/>
    </row>
    <row r="66" spans="1:47" ht="21" customHeight="1">
      <c r="A66" s="72"/>
      <c r="B66" s="72"/>
      <c r="C66" s="72"/>
      <c r="D66" s="72"/>
      <c r="E66" s="72"/>
      <c r="F66" s="72"/>
      <c r="G66" s="72"/>
      <c r="H66" s="72"/>
      <c r="I66" s="72"/>
      <c r="J66" s="72"/>
      <c r="K66" s="72"/>
      <c r="L66" s="72"/>
      <c r="M66" s="72"/>
      <c r="N66" s="72"/>
      <c r="O66" s="72"/>
      <c r="P66" s="72"/>
      <c r="Q66" s="72"/>
      <c r="R66" s="72"/>
      <c r="S66" s="72"/>
      <c r="T66" s="72"/>
      <c r="U66" s="72"/>
      <c r="V66" s="72"/>
      <c r="W66" s="72"/>
      <c r="X66" s="72"/>
      <c r="Y66" s="1"/>
      <c r="Z66" s="77"/>
      <c r="AA66" s="72"/>
      <c r="AB66" s="72"/>
      <c r="AC66" s="72"/>
      <c r="AD66" s="72"/>
      <c r="AE66" s="72"/>
      <c r="AF66" s="72"/>
      <c r="AG66" s="72"/>
      <c r="AH66" s="72"/>
      <c r="AI66" s="72"/>
      <c r="AJ66" s="72"/>
      <c r="AK66" s="79"/>
      <c r="AL66" s="1"/>
      <c r="AM66" s="105" t="s">
        <v>56</v>
      </c>
      <c r="AN66" s="106"/>
      <c r="AO66" s="106"/>
      <c r="AP66" s="106"/>
      <c r="AQ66" s="107"/>
      <c r="AR66" s="2">
        <v>0</v>
      </c>
      <c r="AS66" s="2">
        <v>0</v>
      </c>
      <c r="AT66" s="110">
        <v>0</v>
      </c>
      <c r="AU66" s="111"/>
    </row>
    <row r="67" spans="1:47" ht="9" customHeight="1">
      <c r="A67" s="72"/>
      <c r="B67" s="72"/>
      <c r="C67" s="72"/>
      <c r="D67" s="72"/>
      <c r="E67" s="72"/>
      <c r="F67" s="72"/>
      <c r="G67" s="72"/>
      <c r="H67" s="72"/>
      <c r="I67" s="72"/>
      <c r="J67" s="72"/>
      <c r="K67" s="72"/>
      <c r="L67" s="72"/>
      <c r="M67" s="72"/>
      <c r="N67" s="72"/>
      <c r="O67" s="72"/>
      <c r="P67" s="72"/>
      <c r="Q67" s="72"/>
      <c r="R67" s="72"/>
      <c r="S67" s="72"/>
      <c r="T67" s="72"/>
      <c r="U67" s="72"/>
      <c r="V67" s="72"/>
      <c r="W67" s="72"/>
      <c r="X67" s="72"/>
      <c r="Y67" s="1"/>
      <c r="Z67" s="77"/>
      <c r="AA67" s="78"/>
      <c r="AB67" s="78"/>
      <c r="AC67" s="78"/>
      <c r="AD67" s="78"/>
      <c r="AE67" s="78"/>
      <c r="AF67" s="78"/>
      <c r="AG67" s="78"/>
      <c r="AH67" s="78"/>
      <c r="AI67" s="78"/>
      <c r="AJ67" s="78"/>
      <c r="AK67" s="79"/>
      <c r="AL67" s="1"/>
      <c r="AM67" s="112" t="s">
        <v>57</v>
      </c>
      <c r="AN67" s="113"/>
      <c r="AO67" s="113"/>
      <c r="AP67" s="113"/>
      <c r="AQ67" s="114"/>
      <c r="AR67" s="66">
        <v>0</v>
      </c>
      <c r="AS67" s="66">
        <v>0</v>
      </c>
      <c r="AT67" s="60">
        <v>0</v>
      </c>
      <c r="AU67" s="61"/>
    </row>
    <row r="68" spans="1:47" ht="4.1500000000000004" customHeight="1">
      <c r="A68" s="1"/>
      <c r="B68" s="68" t="s">
        <v>58</v>
      </c>
      <c r="C68" s="69"/>
      <c r="D68" s="69"/>
      <c r="E68" s="69"/>
      <c r="F68" s="69"/>
      <c r="G68" s="69"/>
      <c r="H68" s="69"/>
      <c r="I68" s="69"/>
      <c r="J68" s="69"/>
      <c r="K68" s="69"/>
      <c r="L68" s="69"/>
      <c r="M68" s="69"/>
      <c r="N68" s="69"/>
      <c r="O68" s="69"/>
      <c r="P68" s="69"/>
      <c r="Q68" s="69"/>
      <c r="R68" s="69"/>
      <c r="S68" s="69"/>
      <c r="T68" s="69"/>
      <c r="U68" s="69"/>
      <c r="V68" s="69"/>
      <c r="W68" s="69"/>
      <c r="X68" s="70"/>
      <c r="Y68" s="1"/>
      <c r="Z68" s="82" t="s">
        <v>59</v>
      </c>
      <c r="AA68" s="83"/>
      <c r="AB68" s="83"/>
      <c r="AC68" s="83"/>
      <c r="AD68" s="83"/>
      <c r="AE68" s="83"/>
      <c r="AF68" s="83"/>
      <c r="AG68" s="83"/>
      <c r="AH68" s="83"/>
      <c r="AI68" s="83"/>
      <c r="AJ68" s="83"/>
      <c r="AK68" s="84"/>
      <c r="AL68" s="1"/>
      <c r="AM68" s="99"/>
      <c r="AN68" s="100"/>
      <c r="AO68" s="100"/>
      <c r="AP68" s="100"/>
      <c r="AQ68" s="101"/>
      <c r="AR68" s="102"/>
      <c r="AS68" s="102"/>
      <c r="AT68" s="103"/>
      <c r="AU68" s="104"/>
    </row>
    <row r="69" spans="1:47" ht="6" customHeight="1">
      <c r="A69" s="1"/>
      <c r="B69" s="71"/>
      <c r="C69" s="72"/>
      <c r="D69" s="72"/>
      <c r="E69" s="72"/>
      <c r="F69" s="72"/>
      <c r="G69" s="72"/>
      <c r="H69" s="72"/>
      <c r="I69" s="72"/>
      <c r="J69" s="72"/>
      <c r="K69" s="72"/>
      <c r="L69" s="72"/>
      <c r="M69" s="72"/>
      <c r="N69" s="72"/>
      <c r="O69" s="72"/>
      <c r="P69" s="72"/>
      <c r="Q69" s="72"/>
      <c r="R69" s="72"/>
      <c r="S69" s="72"/>
      <c r="T69" s="72"/>
      <c r="U69" s="72"/>
      <c r="V69" s="72"/>
      <c r="W69" s="72"/>
      <c r="X69" s="73"/>
      <c r="Y69" s="1"/>
      <c r="Z69" s="82"/>
      <c r="AA69" s="83"/>
      <c r="AB69" s="83"/>
      <c r="AC69" s="83"/>
      <c r="AD69" s="83"/>
      <c r="AE69" s="83"/>
      <c r="AF69" s="83"/>
      <c r="AG69" s="83"/>
      <c r="AH69" s="83"/>
      <c r="AI69" s="83"/>
      <c r="AJ69" s="83"/>
      <c r="AK69" s="84"/>
      <c r="AL69" s="1"/>
      <c r="AM69" s="87" t="s">
        <v>60</v>
      </c>
      <c r="AN69" s="88"/>
      <c r="AO69" s="88"/>
      <c r="AP69" s="88"/>
      <c r="AQ69" s="89"/>
      <c r="AR69" s="66">
        <v>0</v>
      </c>
      <c r="AS69" s="66">
        <v>0</v>
      </c>
      <c r="AT69" s="60">
        <v>0</v>
      </c>
      <c r="AU69" s="61"/>
    </row>
    <row r="70" spans="1:47" ht="7.15" customHeight="1">
      <c r="A70" s="1"/>
      <c r="B70" s="71"/>
      <c r="C70" s="72"/>
      <c r="D70" s="72"/>
      <c r="E70" s="72"/>
      <c r="F70" s="72"/>
      <c r="G70" s="72"/>
      <c r="H70" s="72"/>
      <c r="I70" s="72"/>
      <c r="J70" s="72"/>
      <c r="K70" s="72"/>
      <c r="L70" s="72"/>
      <c r="M70" s="72"/>
      <c r="N70" s="72"/>
      <c r="O70" s="72"/>
      <c r="P70" s="72"/>
      <c r="Q70" s="72"/>
      <c r="R70" s="72"/>
      <c r="S70" s="72"/>
      <c r="T70" s="72"/>
      <c r="U70" s="72"/>
      <c r="V70" s="72"/>
      <c r="W70" s="72"/>
      <c r="X70" s="73"/>
      <c r="Y70" s="1"/>
      <c r="Z70" s="77" t="s">
        <v>61</v>
      </c>
      <c r="AA70" s="78"/>
      <c r="AB70" s="78"/>
      <c r="AC70" s="78"/>
      <c r="AD70" s="78"/>
      <c r="AE70" s="78"/>
      <c r="AF70" s="78"/>
      <c r="AG70" s="78"/>
      <c r="AH70" s="78"/>
      <c r="AI70" s="78"/>
      <c r="AJ70" s="78"/>
      <c r="AK70" s="79"/>
      <c r="AL70" s="1"/>
      <c r="AM70" s="99"/>
      <c r="AN70" s="100"/>
      <c r="AO70" s="100"/>
      <c r="AP70" s="100"/>
      <c r="AQ70" s="101"/>
      <c r="AR70" s="102"/>
      <c r="AS70" s="102"/>
      <c r="AT70" s="103"/>
      <c r="AU70" s="104"/>
    </row>
    <row r="71" spans="1:47" ht="3" customHeight="1">
      <c r="A71" s="1"/>
      <c r="B71" s="74"/>
      <c r="C71" s="75"/>
      <c r="D71" s="75"/>
      <c r="E71" s="75"/>
      <c r="F71" s="75"/>
      <c r="G71" s="75"/>
      <c r="H71" s="75"/>
      <c r="I71" s="75"/>
      <c r="J71" s="75"/>
      <c r="K71" s="75"/>
      <c r="L71" s="75"/>
      <c r="M71" s="75"/>
      <c r="N71" s="75"/>
      <c r="O71" s="75"/>
      <c r="P71" s="75"/>
      <c r="Q71" s="75"/>
      <c r="R71" s="75"/>
      <c r="S71" s="75"/>
      <c r="T71" s="75"/>
      <c r="U71" s="75"/>
      <c r="V71" s="75"/>
      <c r="W71" s="75"/>
      <c r="X71" s="76"/>
      <c r="Y71" s="1"/>
      <c r="Z71" s="77"/>
      <c r="AA71" s="72"/>
      <c r="AB71" s="72"/>
      <c r="AC71" s="72"/>
      <c r="AD71" s="72"/>
      <c r="AE71" s="72"/>
      <c r="AF71" s="72"/>
      <c r="AG71" s="72"/>
      <c r="AH71" s="72"/>
      <c r="AI71" s="72"/>
      <c r="AJ71" s="72"/>
      <c r="AK71" s="79"/>
      <c r="AL71" s="1"/>
      <c r="AM71" s="87" t="s">
        <v>62</v>
      </c>
      <c r="AN71" s="88"/>
      <c r="AO71" s="88"/>
      <c r="AP71" s="88"/>
      <c r="AQ71" s="89"/>
      <c r="AR71" s="66">
        <v>0</v>
      </c>
      <c r="AS71" s="66">
        <v>0</v>
      </c>
      <c r="AT71" s="60">
        <v>0</v>
      </c>
      <c r="AU71" s="61"/>
    </row>
    <row r="72" spans="1:47" ht="10.15" customHeight="1" thickBot="1">
      <c r="A72" s="1"/>
      <c r="B72" s="1"/>
      <c r="C72" s="1"/>
      <c r="D72" s="1"/>
      <c r="E72" s="1"/>
      <c r="F72" s="1"/>
      <c r="G72" s="1"/>
      <c r="H72" s="1"/>
      <c r="I72" s="1"/>
      <c r="J72" s="1"/>
      <c r="K72" s="1"/>
      <c r="L72" s="1"/>
      <c r="M72" s="1"/>
      <c r="N72" s="1"/>
      <c r="O72" s="1"/>
      <c r="P72" s="1"/>
      <c r="Q72" s="1"/>
      <c r="R72" s="1"/>
      <c r="S72" s="1"/>
      <c r="T72" s="1"/>
      <c r="U72" s="1"/>
      <c r="V72" s="1"/>
      <c r="W72" s="1"/>
      <c r="X72" s="1"/>
      <c r="Y72" s="1"/>
      <c r="Z72" s="77"/>
      <c r="AA72" s="72"/>
      <c r="AB72" s="72"/>
      <c r="AC72" s="72"/>
      <c r="AD72" s="72"/>
      <c r="AE72" s="72"/>
      <c r="AF72" s="72"/>
      <c r="AG72" s="72"/>
      <c r="AH72" s="72"/>
      <c r="AI72" s="72"/>
      <c r="AJ72" s="72"/>
      <c r="AK72" s="79"/>
      <c r="AL72" s="1"/>
      <c r="AM72" s="90"/>
      <c r="AN72" s="91"/>
      <c r="AO72" s="91"/>
      <c r="AP72" s="91"/>
      <c r="AQ72" s="92"/>
      <c r="AR72" s="67"/>
      <c r="AS72" s="67"/>
      <c r="AT72" s="62"/>
      <c r="AU72" s="63"/>
    </row>
    <row r="73" spans="1:47" ht="10.15" customHeight="1">
      <c r="A73" s="1"/>
      <c r="B73" s="1"/>
      <c r="C73" s="1"/>
      <c r="D73" s="1"/>
      <c r="E73" s="1"/>
      <c r="F73" s="1"/>
      <c r="G73" s="1"/>
      <c r="H73" s="1"/>
      <c r="I73" s="1"/>
      <c r="J73" s="1"/>
      <c r="K73" s="1"/>
      <c r="L73" s="1"/>
      <c r="M73" s="1"/>
      <c r="N73" s="1"/>
      <c r="O73" s="1"/>
      <c r="P73" s="1"/>
      <c r="Q73" s="1"/>
      <c r="R73" s="1"/>
      <c r="S73" s="1"/>
      <c r="T73" s="1"/>
      <c r="U73" s="1"/>
      <c r="V73" s="1"/>
      <c r="W73" s="1"/>
      <c r="X73" s="1"/>
      <c r="Y73" s="1"/>
      <c r="Z73" s="77"/>
      <c r="AA73" s="78"/>
      <c r="AB73" s="78"/>
      <c r="AC73" s="78"/>
      <c r="AD73" s="78"/>
      <c r="AE73" s="78"/>
      <c r="AF73" s="78"/>
      <c r="AG73" s="78"/>
      <c r="AH73" s="78"/>
      <c r="AI73" s="78"/>
      <c r="AJ73" s="78"/>
      <c r="AK73" s="79"/>
      <c r="AL73" s="1"/>
      <c r="AM73" s="1"/>
      <c r="AN73" s="1"/>
      <c r="AO73" s="1"/>
      <c r="AP73" s="1"/>
      <c r="AQ73" s="1"/>
      <c r="AR73" s="1"/>
      <c r="AS73" s="1"/>
      <c r="AT73" s="1"/>
      <c r="AU73" s="1"/>
    </row>
    <row r="74" spans="1:47" ht="10.15" customHeight="1">
      <c r="A74" s="1"/>
      <c r="B74" s="1"/>
      <c r="C74" s="1"/>
      <c r="D74" s="1"/>
      <c r="E74" s="1"/>
      <c r="F74" s="1"/>
      <c r="G74" s="1"/>
      <c r="H74" s="1"/>
      <c r="I74" s="1"/>
      <c r="J74" s="1"/>
      <c r="K74" s="1"/>
      <c r="L74" s="1"/>
      <c r="M74" s="1"/>
      <c r="N74" s="1"/>
      <c r="O74" s="1"/>
      <c r="P74" s="1"/>
      <c r="Q74" s="1"/>
      <c r="R74" s="1"/>
      <c r="S74" s="1"/>
      <c r="T74" s="1"/>
      <c r="U74" s="1"/>
      <c r="V74" s="1"/>
      <c r="W74" s="1"/>
      <c r="X74" s="1"/>
      <c r="Y74" s="1"/>
      <c r="Z74" s="82" t="s">
        <v>63</v>
      </c>
      <c r="AA74" s="83"/>
      <c r="AB74" s="83"/>
      <c r="AC74" s="83"/>
      <c r="AD74" s="83"/>
      <c r="AE74" s="83"/>
      <c r="AF74" s="83"/>
      <c r="AG74" s="83"/>
      <c r="AH74" s="83"/>
      <c r="AI74" s="83"/>
      <c r="AJ74" s="83"/>
      <c r="AK74" s="84"/>
      <c r="AL74" s="1"/>
      <c r="AM74" s="85" t="s">
        <v>64</v>
      </c>
      <c r="AN74" s="72"/>
      <c r="AO74" s="72"/>
      <c r="AP74" s="72"/>
      <c r="AQ74" s="72"/>
      <c r="AR74" s="72"/>
      <c r="AS74" s="72"/>
      <c r="AT74" s="72"/>
      <c r="AU74" s="72"/>
    </row>
    <row r="75" spans="1:47" ht="10.15" customHeight="1">
      <c r="A75" s="1"/>
      <c r="B75" s="1"/>
      <c r="C75" s="1"/>
      <c r="D75" s="1"/>
      <c r="E75" s="1"/>
      <c r="F75" s="1"/>
      <c r="G75" s="1"/>
      <c r="H75" s="1"/>
      <c r="I75" s="1"/>
      <c r="J75" s="1"/>
      <c r="K75" s="1"/>
      <c r="L75" s="1"/>
      <c r="M75" s="1"/>
      <c r="N75" s="1"/>
      <c r="O75" s="1"/>
      <c r="P75" s="1"/>
      <c r="Q75" s="1"/>
      <c r="R75" s="1"/>
      <c r="S75" s="1"/>
      <c r="T75" s="1"/>
      <c r="U75" s="1"/>
      <c r="V75" s="1"/>
      <c r="W75" s="1"/>
      <c r="X75" s="1"/>
      <c r="Y75" s="1"/>
      <c r="Z75" s="77" t="s">
        <v>65</v>
      </c>
      <c r="AA75" s="78"/>
      <c r="AB75" s="78"/>
      <c r="AC75" s="78"/>
      <c r="AD75" s="78"/>
      <c r="AE75" s="78"/>
      <c r="AF75" s="78"/>
      <c r="AG75" s="78"/>
      <c r="AH75" s="78"/>
      <c r="AI75" s="78"/>
      <c r="AJ75" s="78"/>
      <c r="AK75" s="79"/>
      <c r="AL75" s="1"/>
      <c r="AM75" s="72"/>
      <c r="AN75" s="72"/>
      <c r="AO75" s="72"/>
      <c r="AP75" s="72"/>
      <c r="AQ75" s="72"/>
      <c r="AR75" s="72"/>
      <c r="AS75" s="72"/>
      <c r="AT75" s="72"/>
      <c r="AU75" s="72"/>
    </row>
    <row r="76" spans="1:47" ht="19.899999999999999" customHeight="1">
      <c r="A76" s="1"/>
      <c r="B76" s="1"/>
      <c r="C76" s="1"/>
      <c r="D76" s="1"/>
      <c r="E76" s="1"/>
      <c r="F76" s="1"/>
      <c r="G76" s="1"/>
      <c r="H76" s="1"/>
      <c r="I76" s="1"/>
      <c r="J76" s="1"/>
      <c r="K76" s="1"/>
      <c r="L76" s="1"/>
      <c r="M76" s="1"/>
      <c r="N76" s="1"/>
      <c r="O76" s="1"/>
      <c r="P76" s="1"/>
      <c r="Q76" s="1"/>
      <c r="R76" s="1"/>
      <c r="S76" s="1"/>
      <c r="T76" s="1"/>
      <c r="U76" s="1"/>
      <c r="V76" s="1"/>
      <c r="W76" s="1"/>
      <c r="X76" s="1"/>
      <c r="Y76" s="1"/>
      <c r="Z76" s="77"/>
      <c r="AA76" s="78"/>
      <c r="AB76" s="78"/>
      <c r="AC76" s="78"/>
      <c r="AD76" s="78"/>
      <c r="AE76" s="78"/>
      <c r="AF76" s="78"/>
      <c r="AG76" s="78"/>
      <c r="AH76" s="78"/>
      <c r="AI76" s="78"/>
      <c r="AJ76" s="78"/>
      <c r="AK76" s="79"/>
      <c r="AL76" s="1"/>
      <c r="AM76" s="1"/>
      <c r="AN76" s="300" t="s">
        <v>130</v>
      </c>
      <c r="AO76" s="86"/>
      <c r="AP76" s="86"/>
      <c r="AQ76" s="86"/>
      <c r="AR76" s="86"/>
      <c r="AS76" s="86"/>
      <c r="AT76" s="86"/>
      <c r="AU76" s="86"/>
    </row>
    <row r="77" spans="1:47" ht="10.15" customHeight="1" thickBot="1">
      <c r="A77" s="1"/>
      <c r="B77" s="1"/>
      <c r="C77" s="1"/>
      <c r="D77" s="1"/>
      <c r="E77" s="1"/>
      <c r="F77" s="1"/>
      <c r="G77" s="1"/>
      <c r="H77" s="1"/>
      <c r="I77" s="1"/>
      <c r="J77" s="1"/>
      <c r="K77" s="1"/>
      <c r="L77" s="1"/>
      <c r="M77" s="1"/>
      <c r="N77" s="1"/>
      <c r="O77" s="1"/>
      <c r="P77" s="1"/>
      <c r="Q77" s="1"/>
      <c r="R77" s="1"/>
      <c r="S77" s="1"/>
      <c r="T77" s="1"/>
      <c r="U77" s="1"/>
      <c r="V77" s="1"/>
      <c r="W77" s="1"/>
      <c r="X77" s="1"/>
      <c r="Y77" s="1"/>
      <c r="Z77" s="82" t="s">
        <v>66</v>
      </c>
      <c r="AA77" s="83"/>
      <c r="AB77" s="83"/>
      <c r="AC77" s="83"/>
      <c r="AD77" s="83"/>
      <c r="AE77" s="83"/>
      <c r="AF77" s="83"/>
      <c r="AG77" s="83"/>
      <c r="AH77" s="83"/>
      <c r="AI77" s="83"/>
      <c r="AJ77" s="83"/>
      <c r="AK77" s="84"/>
      <c r="AL77" s="1"/>
      <c r="AM77" s="1"/>
      <c r="AN77" s="65"/>
      <c r="AO77" s="65"/>
      <c r="AP77" s="65"/>
      <c r="AQ77" s="65"/>
      <c r="AR77" s="65"/>
      <c r="AS77" s="65"/>
      <c r="AT77" s="65"/>
      <c r="AU77" s="65"/>
    </row>
    <row r="78" spans="1:47" ht="10.15" customHeight="1">
      <c r="A78" s="1"/>
      <c r="B78" s="1"/>
      <c r="C78" s="1"/>
      <c r="D78" s="1"/>
      <c r="E78" s="1"/>
      <c r="F78" s="1"/>
      <c r="G78" s="1"/>
      <c r="H78" s="1"/>
      <c r="I78" s="1"/>
      <c r="J78" s="1"/>
      <c r="K78" s="1"/>
      <c r="L78" s="1"/>
      <c r="M78" s="1"/>
      <c r="N78" s="1"/>
      <c r="O78" s="1"/>
      <c r="P78" s="1"/>
      <c r="Q78" s="1"/>
      <c r="R78" s="1"/>
      <c r="S78" s="1"/>
      <c r="T78" s="1"/>
      <c r="U78" s="1"/>
      <c r="V78" s="1"/>
      <c r="W78" s="1"/>
      <c r="X78" s="1"/>
      <c r="Y78" s="1"/>
      <c r="Z78" s="77" t="s">
        <v>67</v>
      </c>
      <c r="AA78" s="78"/>
      <c r="AB78" s="78"/>
      <c r="AC78" s="78"/>
      <c r="AD78" s="78"/>
      <c r="AE78" s="78"/>
      <c r="AF78" s="78"/>
      <c r="AG78" s="78"/>
      <c r="AH78" s="78"/>
      <c r="AI78" s="78"/>
      <c r="AJ78" s="78"/>
      <c r="AK78" s="79"/>
      <c r="AL78" s="1"/>
      <c r="AM78" s="1"/>
      <c r="AN78" s="81" t="s">
        <v>68</v>
      </c>
      <c r="AO78" s="72"/>
      <c r="AP78" s="72"/>
      <c r="AQ78" s="72"/>
      <c r="AR78" s="72"/>
      <c r="AS78" s="72"/>
      <c r="AT78" s="72"/>
      <c r="AU78" s="72"/>
    </row>
    <row r="79" spans="1:47" ht="10.15" customHeight="1">
      <c r="A79" s="1"/>
      <c r="B79" s="1"/>
      <c r="C79" s="1"/>
      <c r="D79" s="1"/>
      <c r="E79" s="1"/>
      <c r="F79" s="1"/>
      <c r="G79" s="1"/>
      <c r="H79" s="1"/>
      <c r="I79" s="1"/>
      <c r="J79" s="1"/>
      <c r="K79" s="1"/>
      <c r="L79" s="1"/>
      <c r="M79" s="1"/>
      <c r="N79" s="1"/>
      <c r="O79" s="1"/>
      <c r="P79" s="1"/>
      <c r="Q79" s="1"/>
      <c r="R79" s="1"/>
      <c r="S79" s="1"/>
      <c r="T79" s="1"/>
      <c r="U79" s="1"/>
      <c r="V79" s="1"/>
      <c r="W79" s="1"/>
      <c r="X79" s="1"/>
      <c r="Y79" s="1"/>
      <c r="Z79" s="93" t="s">
        <v>69</v>
      </c>
      <c r="AA79" s="94"/>
      <c r="AB79" s="94"/>
      <c r="AC79" s="94"/>
      <c r="AD79" s="94"/>
      <c r="AE79" s="94"/>
      <c r="AF79" s="94"/>
      <c r="AG79" s="94"/>
      <c r="AH79" s="94"/>
      <c r="AI79" s="94"/>
      <c r="AJ79" s="94"/>
      <c r="AK79" s="95"/>
      <c r="AL79" s="1"/>
      <c r="AM79" s="1"/>
      <c r="AN79" s="72"/>
      <c r="AO79" s="72"/>
      <c r="AP79" s="72"/>
      <c r="AQ79" s="72"/>
      <c r="AR79" s="72"/>
      <c r="AS79" s="72"/>
      <c r="AT79" s="72"/>
      <c r="AU79" s="72"/>
    </row>
    <row r="80" spans="1:47" ht="10.9" customHeight="1">
      <c r="A80" s="1"/>
      <c r="B80" s="1"/>
      <c r="C80" s="1"/>
      <c r="D80" s="1"/>
      <c r="E80" s="1"/>
      <c r="F80" s="1"/>
      <c r="G80" s="1"/>
      <c r="H80" s="1"/>
      <c r="I80" s="1"/>
      <c r="J80" s="1"/>
      <c r="K80" s="1"/>
      <c r="L80" s="1"/>
      <c r="M80" s="1"/>
      <c r="N80" s="1"/>
      <c r="O80" s="1"/>
      <c r="P80" s="1"/>
      <c r="Q80" s="1"/>
      <c r="R80" s="1"/>
      <c r="S80" s="1"/>
      <c r="T80" s="1"/>
      <c r="U80" s="1"/>
      <c r="V80" s="1"/>
      <c r="W80" s="1"/>
      <c r="X80" s="1"/>
      <c r="Y80" s="1"/>
      <c r="Z80" s="96"/>
      <c r="AA80" s="97"/>
      <c r="AB80" s="97"/>
      <c r="AC80" s="97"/>
      <c r="AD80" s="97"/>
      <c r="AE80" s="97"/>
      <c r="AF80" s="97"/>
      <c r="AG80" s="97"/>
      <c r="AH80" s="97"/>
      <c r="AI80" s="97"/>
      <c r="AJ80" s="97"/>
      <c r="AK80" s="98"/>
      <c r="AL80" s="1"/>
      <c r="AM80" s="85" t="s">
        <v>70</v>
      </c>
      <c r="AN80" s="72"/>
      <c r="AO80" s="72"/>
      <c r="AP80" s="72"/>
      <c r="AQ80" s="72"/>
      <c r="AR80" s="72"/>
      <c r="AS80" s="72"/>
      <c r="AT80" s="72"/>
      <c r="AU80" s="72"/>
    </row>
    <row r="81" spans="1:47" ht="9"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72"/>
      <c r="AN81" s="72"/>
      <c r="AO81" s="72"/>
      <c r="AP81" s="72"/>
      <c r="AQ81" s="72"/>
      <c r="AR81" s="72"/>
      <c r="AS81" s="72"/>
      <c r="AT81" s="72"/>
      <c r="AU81" s="72"/>
    </row>
    <row r="82" spans="1:47" ht="22.9" customHeight="1" thickBot="1">
      <c r="A82" s="1"/>
      <c r="B82" s="1"/>
      <c r="C82" s="1"/>
      <c r="D82" s="1"/>
      <c r="E82" s="1"/>
      <c r="F82" s="1"/>
      <c r="G82" s="1"/>
      <c r="H82" s="1"/>
      <c r="I82" s="1"/>
      <c r="J82" s="1"/>
      <c r="K82" s="1"/>
      <c r="L82" s="1"/>
      <c r="M82" s="1"/>
      <c r="N82" s="1"/>
      <c r="O82" s="1"/>
      <c r="P82" s="1"/>
      <c r="Q82" s="1"/>
      <c r="R82" s="1"/>
      <c r="S82" s="1"/>
      <c r="T82" s="1"/>
      <c r="U82" s="1"/>
      <c r="V82" s="1"/>
      <c r="W82" s="1"/>
      <c r="X82" s="1"/>
      <c r="Y82" s="1"/>
      <c r="Z82" s="64" t="s">
        <v>130</v>
      </c>
      <c r="AA82" s="64"/>
      <c r="AB82" s="64"/>
      <c r="AC82" s="64"/>
      <c r="AD82" s="64"/>
      <c r="AE82" s="64"/>
      <c r="AF82" s="64"/>
      <c r="AG82" s="64"/>
      <c r="AH82" s="64"/>
      <c r="AI82" s="64"/>
      <c r="AJ82" s="64"/>
      <c r="AK82" s="64"/>
      <c r="AL82" s="1"/>
      <c r="AM82" s="1"/>
      <c r="AN82" s="65" t="s">
        <v>128</v>
      </c>
      <c r="AO82" s="65"/>
      <c r="AP82" s="65"/>
      <c r="AQ82" s="65"/>
      <c r="AR82" s="65"/>
      <c r="AS82" s="65"/>
      <c r="AT82" s="65"/>
      <c r="AU82" s="1"/>
    </row>
    <row r="83" spans="1:47" ht="10.15" customHeight="1">
      <c r="A83" s="1"/>
      <c r="B83" s="1"/>
      <c r="C83" s="1"/>
      <c r="D83" s="1"/>
      <c r="E83" s="1"/>
      <c r="F83" s="1"/>
      <c r="G83" s="1"/>
      <c r="H83" s="1"/>
      <c r="I83" s="1"/>
      <c r="J83" s="1"/>
      <c r="K83" s="1"/>
      <c r="L83" s="1"/>
      <c r="M83" s="1"/>
      <c r="N83" s="1"/>
      <c r="O83" s="1"/>
      <c r="P83" s="1"/>
      <c r="Q83" s="1"/>
      <c r="R83" s="1"/>
      <c r="S83" s="1"/>
      <c r="T83" s="1"/>
      <c r="U83" s="1"/>
      <c r="V83" s="1"/>
      <c r="W83" s="1"/>
      <c r="X83" s="1"/>
      <c r="Y83" s="1"/>
      <c r="Z83" s="80" t="s">
        <v>71</v>
      </c>
      <c r="AA83" s="80"/>
      <c r="AB83" s="80"/>
      <c r="AC83" s="80"/>
      <c r="AD83" s="80"/>
      <c r="AE83" s="80"/>
      <c r="AF83" s="80"/>
      <c r="AG83" s="80"/>
      <c r="AH83" s="80"/>
      <c r="AI83" s="80"/>
      <c r="AJ83" s="80"/>
      <c r="AK83" s="80"/>
      <c r="AL83" s="1"/>
      <c r="AM83" s="1"/>
      <c r="AN83" s="81" t="s">
        <v>72</v>
      </c>
      <c r="AO83" s="72"/>
      <c r="AP83" s="72"/>
      <c r="AQ83" s="72"/>
      <c r="AR83" s="72"/>
      <c r="AS83" s="72"/>
      <c r="AT83" s="72"/>
      <c r="AU83" s="72"/>
    </row>
  </sheetData>
  <mergeCells count="681">
    <mergeCell ref="A1:AU1"/>
    <mergeCell ref="A2:AU2"/>
    <mergeCell ref="A3:D3"/>
    <mergeCell ref="F3:I3"/>
    <mergeCell ref="J3:L3"/>
    <mergeCell ref="M3:R3"/>
    <mergeCell ref="S3:Z3"/>
    <mergeCell ref="AA3:AG3"/>
    <mergeCell ref="A4:D4"/>
    <mergeCell ref="F4:R4"/>
    <mergeCell ref="S4:Z4"/>
    <mergeCell ref="AA4:AG4"/>
    <mergeCell ref="AI4:AL4"/>
    <mergeCell ref="AM4:AU4"/>
    <mergeCell ref="AW4:AY4"/>
    <mergeCell ref="A5:B7"/>
    <mergeCell ref="C5:E7"/>
    <mergeCell ref="F5:AL5"/>
    <mergeCell ref="AM5:AP6"/>
    <mergeCell ref="AQ5:AU7"/>
    <mergeCell ref="AW5:AY6"/>
    <mergeCell ref="F6:G6"/>
    <mergeCell ref="L6:M6"/>
    <mergeCell ref="R6:S6"/>
    <mergeCell ref="V6:W6"/>
    <mergeCell ref="X6:Y6"/>
    <mergeCell ref="Z6:AA6"/>
    <mergeCell ref="AG6:AH6"/>
    <mergeCell ref="AK6:AL6"/>
    <mergeCell ref="F7:G7"/>
    <mergeCell ref="L7:M7"/>
    <mergeCell ref="R7:S7"/>
    <mergeCell ref="V7:W7"/>
    <mergeCell ref="X7:Y7"/>
    <mergeCell ref="Z7:AA7"/>
    <mergeCell ref="AG7:AH7"/>
    <mergeCell ref="AK7:AL7"/>
    <mergeCell ref="AM7:AN7"/>
    <mergeCell ref="AO7:AP7"/>
    <mergeCell ref="A8:B8"/>
    <mergeCell ref="C8:E8"/>
    <mergeCell ref="F8:G8"/>
    <mergeCell ref="L8:M8"/>
    <mergeCell ref="R8:S8"/>
    <mergeCell ref="V8:W8"/>
    <mergeCell ref="X8:Y8"/>
    <mergeCell ref="Z8:AA8"/>
    <mergeCell ref="AG8:AH8"/>
    <mergeCell ref="AK8:AL8"/>
    <mergeCell ref="AM8:AN8"/>
    <mergeCell ref="AO8:AP8"/>
    <mergeCell ref="AQ8:AU8"/>
    <mergeCell ref="A9:B9"/>
    <mergeCell ref="C9:E9"/>
    <mergeCell ref="F9:G9"/>
    <mergeCell ref="L9:M9"/>
    <mergeCell ref="R9:S9"/>
    <mergeCell ref="V9:W9"/>
    <mergeCell ref="X9:Y9"/>
    <mergeCell ref="Z9:AA9"/>
    <mergeCell ref="AG9:AH9"/>
    <mergeCell ref="AK9:AL9"/>
    <mergeCell ref="AM9:AN9"/>
    <mergeCell ref="AO9:AP9"/>
    <mergeCell ref="AQ9:AU9"/>
    <mergeCell ref="A10:B10"/>
    <mergeCell ref="C10:E10"/>
    <mergeCell ref="F10:G10"/>
    <mergeCell ref="L10:M10"/>
    <mergeCell ref="R10:S10"/>
    <mergeCell ref="V10:W10"/>
    <mergeCell ref="X10:Y10"/>
    <mergeCell ref="Z10:AA10"/>
    <mergeCell ref="AG10:AH10"/>
    <mergeCell ref="AK10:AL10"/>
    <mergeCell ref="AM10:AN10"/>
    <mergeCell ref="AO10:AP10"/>
    <mergeCell ref="AQ10:AU10"/>
    <mergeCell ref="A11:B11"/>
    <mergeCell ref="C11:E11"/>
    <mergeCell ref="F11:G11"/>
    <mergeCell ref="L11:M11"/>
    <mergeCell ref="R11:S11"/>
    <mergeCell ref="V11:W11"/>
    <mergeCell ref="X11:Y11"/>
    <mergeCell ref="Z11:AA11"/>
    <mergeCell ref="AG11:AH11"/>
    <mergeCell ref="AK11:AL11"/>
    <mergeCell ref="AM11:AN11"/>
    <mergeCell ref="AO11:AP11"/>
    <mergeCell ref="AQ11:AU11"/>
    <mergeCell ref="A12:B12"/>
    <mergeCell ref="C12:E12"/>
    <mergeCell ref="F12:G12"/>
    <mergeCell ref="L12:M12"/>
    <mergeCell ref="R12:S12"/>
    <mergeCell ref="V12:W12"/>
    <mergeCell ref="X12:Y12"/>
    <mergeCell ref="Z12:AA12"/>
    <mergeCell ref="AG12:AH12"/>
    <mergeCell ref="AK12:AL12"/>
    <mergeCell ref="AM12:AN12"/>
    <mergeCell ref="AO12:AP12"/>
    <mergeCell ref="AQ12:AU12"/>
    <mergeCell ref="A13:B13"/>
    <mergeCell ref="C13:E13"/>
    <mergeCell ref="F13:G13"/>
    <mergeCell ref="L13:M13"/>
    <mergeCell ref="R13:S13"/>
    <mergeCell ref="V13:W13"/>
    <mergeCell ref="X13:Y13"/>
    <mergeCell ref="Z13:AA13"/>
    <mergeCell ref="AG13:AH13"/>
    <mergeCell ref="AK13:AL13"/>
    <mergeCell ref="AM13:AN13"/>
    <mergeCell ref="AO13:AP13"/>
    <mergeCell ref="AQ13:AU13"/>
    <mergeCell ref="A14:B14"/>
    <mergeCell ref="C14:E14"/>
    <mergeCell ref="F14:G14"/>
    <mergeCell ref="L14:M14"/>
    <mergeCell ref="R14:S14"/>
    <mergeCell ref="V14:W14"/>
    <mergeCell ref="X14:Y14"/>
    <mergeCell ref="Z14:AA14"/>
    <mergeCell ref="AG14:AH14"/>
    <mergeCell ref="AK14:AL14"/>
    <mergeCell ref="AM14:AN14"/>
    <mergeCell ref="AO14:AP14"/>
    <mergeCell ref="AQ14:AU14"/>
    <mergeCell ref="A15:B15"/>
    <mergeCell ref="C15:E15"/>
    <mergeCell ref="F15:G15"/>
    <mergeCell ref="L15:M15"/>
    <mergeCell ref="R15:S15"/>
    <mergeCell ref="V15:W15"/>
    <mergeCell ref="X15:Y15"/>
    <mergeCell ref="Z15:AA15"/>
    <mergeCell ref="AG15:AH15"/>
    <mergeCell ref="AK15:AL15"/>
    <mergeCell ref="AM15:AN15"/>
    <mergeCell ref="AO15:AP15"/>
    <mergeCell ref="AQ15:AU15"/>
    <mergeCell ref="A16:B16"/>
    <mergeCell ref="C16:E16"/>
    <mergeCell ref="F16:G16"/>
    <mergeCell ref="L16:M16"/>
    <mergeCell ref="R16:S16"/>
    <mergeCell ref="V16:W16"/>
    <mergeCell ref="X16:Y16"/>
    <mergeCell ref="Z16:AA16"/>
    <mergeCell ref="AG16:AH16"/>
    <mergeCell ref="AK16:AL16"/>
    <mergeCell ref="AM16:AN16"/>
    <mergeCell ref="AO16:AP16"/>
    <mergeCell ref="AQ16:AU16"/>
    <mergeCell ref="A17:B17"/>
    <mergeCell ref="C17:E17"/>
    <mergeCell ref="F17:G17"/>
    <mergeCell ref="L17:M17"/>
    <mergeCell ref="R17:S17"/>
    <mergeCell ref="V17:W17"/>
    <mergeCell ref="X17:Y17"/>
    <mergeCell ref="Z17:AA17"/>
    <mergeCell ref="AG17:AH17"/>
    <mergeCell ref="AK17:AL17"/>
    <mergeCell ref="AM17:AN17"/>
    <mergeCell ref="AO17:AP17"/>
    <mergeCell ref="AQ17:AU17"/>
    <mergeCell ref="A18:B18"/>
    <mergeCell ref="C18:E18"/>
    <mergeCell ref="F18:G18"/>
    <mergeCell ref="L18:M18"/>
    <mergeCell ref="R18:S18"/>
    <mergeCell ref="V18:W18"/>
    <mergeCell ref="X18:Y18"/>
    <mergeCell ref="Z18:AA18"/>
    <mergeCell ref="AG18:AH18"/>
    <mergeCell ref="AK18:AL18"/>
    <mergeCell ref="AM18:AN18"/>
    <mergeCell ref="AO18:AP18"/>
    <mergeCell ref="AQ18:AU18"/>
    <mergeCell ref="A19:B19"/>
    <mergeCell ref="C19:E19"/>
    <mergeCell ref="F19:G19"/>
    <mergeCell ref="L19:M19"/>
    <mergeCell ref="R19:S19"/>
    <mergeCell ref="V19:W19"/>
    <mergeCell ref="X19:Y19"/>
    <mergeCell ref="Z19:AA19"/>
    <mergeCell ref="AG19:AH19"/>
    <mergeCell ref="AK19:AL19"/>
    <mergeCell ref="AM19:AN19"/>
    <mergeCell ref="AO19:AP19"/>
    <mergeCell ref="AQ19:AU19"/>
    <mergeCell ref="A20:B20"/>
    <mergeCell ref="C20:E20"/>
    <mergeCell ref="F20:G20"/>
    <mergeCell ref="L20:M20"/>
    <mergeCell ref="R20:S20"/>
    <mergeCell ref="V20:W20"/>
    <mergeCell ref="X20:Y20"/>
    <mergeCell ref="Z20:AA20"/>
    <mergeCell ref="AG20:AH20"/>
    <mergeCell ref="AK20:AL20"/>
    <mergeCell ref="AM20:AN20"/>
    <mergeCell ref="AO20:AP20"/>
    <mergeCell ref="AQ20:AU20"/>
    <mergeCell ref="A21:B21"/>
    <mergeCell ref="C21:E21"/>
    <mergeCell ref="F21:G21"/>
    <mergeCell ref="L21:M21"/>
    <mergeCell ref="R21:S21"/>
    <mergeCell ref="V21:W21"/>
    <mergeCell ref="X21:Y21"/>
    <mergeCell ref="Z21:AA21"/>
    <mergeCell ref="AG21:AH21"/>
    <mergeCell ref="AK21:AL21"/>
    <mergeCell ref="AM21:AN21"/>
    <mergeCell ref="AO21:AP21"/>
    <mergeCell ref="AQ21:AU21"/>
    <mergeCell ref="A22:B22"/>
    <mergeCell ref="C22:E22"/>
    <mergeCell ref="F22:G22"/>
    <mergeCell ref="L22:M22"/>
    <mergeCell ref="R22:S22"/>
    <mergeCell ref="V22:W22"/>
    <mergeCell ref="X22:Y22"/>
    <mergeCell ref="Z22:AA22"/>
    <mergeCell ref="AG22:AH22"/>
    <mergeCell ref="AK22:AL22"/>
    <mergeCell ref="AM22:AN22"/>
    <mergeCell ref="AO22:AP22"/>
    <mergeCell ref="AQ22:AU22"/>
    <mergeCell ref="A23:B23"/>
    <mergeCell ref="C23:E23"/>
    <mergeCell ref="F23:G23"/>
    <mergeCell ref="L23:M23"/>
    <mergeCell ref="R23:S23"/>
    <mergeCell ref="V23:W23"/>
    <mergeCell ref="X23:Y23"/>
    <mergeCell ref="Z23:AA23"/>
    <mergeCell ref="AG23:AH23"/>
    <mergeCell ref="AK23:AL23"/>
    <mergeCell ref="AM23:AN23"/>
    <mergeCell ref="AO23:AP23"/>
    <mergeCell ref="AQ23:AU23"/>
    <mergeCell ref="A24:B24"/>
    <mergeCell ref="C24:E24"/>
    <mergeCell ref="F24:G24"/>
    <mergeCell ref="L24:M24"/>
    <mergeCell ref="R24:S24"/>
    <mergeCell ref="V24:W24"/>
    <mergeCell ref="X24:Y24"/>
    <mergeCell ref="Z24:AA24"/>
    <mergeCell ref="AG24:AH24"/>
    <mergeCell ref="AK24:AL24"/>
    <mergeCell ref="AM24:AN24"/>
    <mergeCell ref="AO24:AP24"/>
    <mergeCell ref="AQ24:AU24"/>
    <mergeCell ref="A25:B25"/>
    <mergeCell ref="C25:E25"/>
    <mergeCell ref="F25:G25"/>
    <mergeCell ref="L25:M25"/>
    <mergeCell ref="R25:S25"/>
    <mergeCell ref="V25:W25"/>
    <mergeCell ref="X25:Y25"/>
    <mergeCell ref="Z25:AA25"/>
    <mergeCell ref="AG25:AH25"/>
    <mergeCell ref="AK25:AL25"/>
    <mergeCell ref="AM25:AN25"/>
    <mergeCell ref="AO25:AP25"/>
    <mergeCell ref="AQ25:AU25"/>
    <mergeCell ref="A26:B26"/>
    <mergeCell ref="C26:D26"/>
    <mergeCell ref="F26:G26"/>
    <mergeCell ref="L26:M26"/>
    <mergeCell ref="R26:S26"/>
    <mergeCell ref="V26:W26"/>
    <mergeCell ref="X26:Y26"/>
    <mergeCell ref="Z26:AA26"/>
    <mergeCell ref="AG26:AH26"/>
    <mergeCell ref="AK26:AL26"/>
    <mergeCell ref="AM26:AN26"/>
    <mergeCell ref="AO26:AP26"/>
    <mergeCell ref="AQ26:AT26"/>
    <mergeCell ref="A27:B27"/>
    <mergeCell ref="C27:E27"/>
    <mergeCell ref="F27:G27"/>
    <mergeCell ref="L27:M27"/>
    <mergeCell ref="R27:S27"/>
    <mergeCell ref="V27:W27"/>
    <mergeCell ref="X27:Y27"/>
    <mergeCell ref="Z27:AA27"/>
    <mergeCell ref="AG27:AH27"/>
    <mergeCell ref="AK27:AL27"/>
    <mergeCell ref="AM27:AN27"/>
    <mergeCell ref="AO27:AP27"/>
    <mergeCell ref="AQ27:AU27"/>
    <mergeCell ref="A28:B28"/>
    <mergeCell ref="C28:E28"/>
    <mergeCell ref="F28:G28"/>
    <mergeCell ref="L28:M28"/>
    <mergeCell ref="R28:S28"/>
    <mergeCell ref="V28:W28"/>
    <mergeCell ref="X28:Y28"/>
    <mergeCell ref="Z28:AA28"/>
    <mergeCell ref="AG28:AH28"/>
    <mergeCell ref="AK28:AL28"/>
    <mergeCell ref="AM28:AN28"/>
    <mergeCell ref="AO28:AP28"/>
    <mergeCell ref="AQ28:AU28"/>
    <mergeCell ref="AW28:AY28"/>
    <mergeCell ref="A29:B29"/>
    <mergeCell ref="C29:E29"/>
    <mergeCell ref="F29:G29"/>
    <mergeCell ref="L29:M29"/>
    <mergeCell ref="R29:S29"/>
    <mergeCell ref="V29:W29"/>
    <mergeCell ref="X29:Y29"/>
    <mergeCell ref="Z29:AA29"/>
    <mergeCell ref="AG29:AH29"/>
    <mergeCell ref="AK29:AL29"/>
    <mergeCell ref="AM29:AN29"/>
    <mergeCell ref="AO29:AP29"/>
    <mergeCell ref="AQ29:AU29"/>
    <mergeCell ref="A30:B30"/>
    <mergeCell ref="C30:E30"/>
    <mergeCell ref="F30:G30"/>
    <mergeCell ref="L30:M30"/>
    <mergeCell ref="R30:S30"/>
    <mergeCell ref="V30:W30"/>
    <mergeCell ref="X30:Y30"/>
    <mergeCell ref="Z30:AA30"/>
    <mergeCell ref="AG30:AH30"/>
    <mergeCell ref="AK30:AL30"/>
    <mergeCell ref="AM30:AN30"/>
    <mergeCell ref="AO30:AP30"/>
    <mergeCell ref="AQ30:AU30"/>
    <mergeCell ref="A31:B31"/>
    <mergeCell ref="C31:E31"/>
    <mergeCell ref="F31:G31"/>
    <mergeCell ref="L31:M31"/>
    <mergeCell ref="R31:S31"/>
    <mergeCell ref="V31:W31"/>
    <mergeCell ref="X31:Y31"/>
    <mergeCell ref="Z31:AA31"/>
    <mergeCell ref="AG31:AH31"/>
    <mergeCell ref="AK31:AL31"/>
    <mergeCell ref="AM31:AN31"/>
    <mergeCell ref="AO31:AP31"/>
    <mergeCell ref="AQ31:AU31"/>
    <mergeCell ref="A32:B32"/>
    <mergeCell ref="C32:E32"/>
    <mergeCell ref="F32:G32"/>
    <mergeCell ref="L32:M32"/>
    <mergeCell ref="R32:S32"/>
    <mergeCell ref="V32:W32"/>
    <mergeCell ref="X32:Y32"/>
    <mergeCell ref="Z32:AA32"/>
    <mergeCell ref="AG32:AH32"/>
    <mergeCell ref="AK32:AL32"/>
    <mergeCell ref="AM32:AN32"/>
    <mergeCell ref="AO32:AP32"/>
    <mergeCell ref="AQ32:AU32"/>
    <mergeCell ref="A33:B33"/>
    <mergeCell ref="C33:E33"/>
    <mergeCell ref="F33:G33"/>
    <mergeCell ref="L33:M33"/>
    <mergeCell ref="R33:S33"/>
    <mergeCell ref="V33:W33"/>
    <mergeCell ref="X33:Y33"/>
    <mergeCell ref="Z33:AA33"/>
    <mergeCell ref="AG33:AH33"/>
    <mergeCell ref="AK33:AL33"/>
    <mergeCell ref="AM33:AN33"/>
    <mergeCell ref="AO33:AP33"/>
    <mergeCell ref="AQ33:AU33"/>
    <mergeCell ref="A34:B34"/>
    <mergeCell ref="C34:E34"/>
    <mergeCell ref="F34:G34"/>
    <mergeCell ref="L34:M34"/>
    <mergeCell ref="R34:S34"/>
    <mergeCell ref="V34:W34"/>
    <mergeCell ref="X34:Y34"/>
    <mergeCell ref="Z34:AA34"/>
    <mergeCell ref="AG34:AH34"/>
    <mergeCell ref="AK34:AL34"/>
    <mergeCell ref="AM34:AN34"/>
    <mergeCell ref="AO34:AP34"/>
    <mergeCell ref="AQ34:AU34"/>
    <mergeCell ref="A35:B35"/>
    <mergeCell ref="C35:E35"/>
    <mergeCell ref="F35:G35"/>
    <mergeCell ref="L35:M35"/>
    <mergeCell ref="R35:S35"/>
    <mergeCell ref="V35:W35"/>
    <mergeCell ref="X35:Y35"/>
    <mergeCell ref="Z35:AA35"/>
    <mergeCell ref="AG35:AH35"/>
    <mergeCell ref="AK35:AL35"/>
    <mergeCell ref="AM35:AN35"/>
    <mergeCell ref="AO35:AP35"/>
    <mergeCell ref="AQ35:AU35"/>
    <mergeCell ref="A36:B36"/>
    <mergeCell ref="C36:E36"/>
    <mergeCell ref="F36:G36"/>
    <mergeCell ref="L36:M36"/>
    <mergeCell ref="R36:S36"/>
    <mergeCell ref="V36:W36"/>
    <mergeCell ref="X36:Y36"/>
    <mergeCell ref="Z36:AA36"/>
    <mergeCell ref="AG36:AH36"/>
    <mergeCell ref="AK36:AL36"/>
    <mergeCell ref="AM36:AN36"/>
    <mergeCell ref="AO36:AP36"/>
    <mergeCell ref="AQ36:AU36"/>
    <mergeCell ref="A37:B37"/>
    <mergeCell ref="C37:E37"/>
    <mergeCell ref="F37:G37"/>
    <mergeCell ref="L37:M37"/>
    <mergeCell ref="R37:S37"/>
    <mergeCell ref="V37:W37"/>
    <mergeCell ref="X37:Y37"/>
    <mergeCell ref="Z37:AA37"/>
    <mergeCell ref="AG37:AH37"/>
    <mergeCell ref="AK37:AL37"/>
    <mergeCell ref="AM37:AN37"/>
    <mergeCell ref="AO37:AP37"/>
    <mergeCell ref="AQ37:AU37"/>
    <mergeCell ref="A38:B38"/>
    <mergeCell ref="C38:E38"/>
    <mergeCell ref="F38:G38"/>
    <mergeCell ref="L38:M38"/>
    <mergeCell ref="R38:S38"/>
    <mergeCell ref="V38:W38"/>
    <mergeCell ref="X38:Y38"/>
    <mergeCell ref="Z38:AA38"/>
    <mergeCell ref="AG38:AH38"/>
    <mergeCell ref="AK38:AL38"/>
    <mergeCell ref="AM38:AN38"/>
    <mergeCell ref="AO38:AP38"/>
    <mergeCell ref="AQ38:AU38"/>
    <mergeCell ref="A39:B39"/>
    <mergeCell ref="C39:E39"/>
    <mergeCell ref="F39:G39"/>
    <mergeCell ref="L39:M39"/>
    <mergeCell ref="R39:S39"/>
    <mergeCell ref="V39:W39"/>
    <mergeCell ref="X39:Y39"/>
    <mergeCell ref="Z39:AA39"/>
    <mergeCell ref="AG39:AH39"/>
    <mergeCell ref="AK39:AL39"/>
    <mergeCell ref="AM39:AN39"/>
    <mergeCell ref="AO39:AP39"/>
    <mergeCell ref="AQ39:AU39"/>
    <mergeCell ref="A40:B40"/>
    <mergeCell ref="C40:E40"/>
    <mergeCell ref="F40:G40"/>
    <mergeCell ref="L40:M40"/>
    <mergeCell ref="R40:S40"/>
    <mergeCell ref="V40:W40"/>
    <mergeCell ref="X40:Y40"/>
    <mergeCell ref="Z40:AA40"/>
    <mergeCell ref="AG40:AH40"/>
    <mergeCell ref="AK40:AL40"/>
    <mergeCell ref="AM40:AN40"/>
    <mergeCell ref="AO40:AP40"/>
    <mergeCell ref="AQ40:AU40"/>
    <mergeCell ref="A41:B41"/>
    <mergeCell ref="C41:E41"/>
    <mergeCell ref="F41:G41"/>
    <mergeCell ref="L41:M41"/>
    <mergeCell ref="R41:S41"/>
    <mergeCell ref="V41:W41"/>
    <mergeCell ref="X41:Y41"/>
    <mergeCell ref="Z41:AA41"/>
    <mergeCell ref="AG41:AH41"/>
    <mergeCell ref="AK41:AL41"/>
    <mergeCell ref="AM41:AN41"/>
    <mergeCell ref="AO41:AP41"/>
    <mergeCell ref="AQ41:AU41"/>
    <mergeCell ref="A42:B42"/>
    <mergeCell ref="C42:E42"/>
    <mergeCell ref="F42:G42"/>
    <mergeCell ref="L42:M42"/>
    <mergeCell ref="R42:S42"/>
    <mergeCell ref="V42:W42"/>
    <mergeCell ref="X42:Y42"/>
    <mergeCell ref="Z42:AA42"/>
    <mergeCell ref="AG42:AH42"/>
    <mergeCell ref="AK42:AL42"/>
    <mergeCell ref="AM42:AN42"/>
    <mergeCell ref="AO42:AP42"/>
    <mergeCell ref="AQ42:AU42"/>
    <mergeCell ref="A43:B43"/>
    <mergeCell ref="C43:E43"/>
    <mergeCell ref="F43:G43"/>
    <mergeCell ref="L43:M43"/>
    <mergeCell ref="R43:S43"/>
    <mergeCell ref="V43:W43"/>
    <mergeCell ref="X43:Y43"/>
    <mergeCell ref="Z43:AA43"/>
    <mergeCell ref="AG43:AH43"/>
    <mergeCell ref="AK43:AL43"/>
    <mergeCell ref="AM43:AN43"/>
    <mergeCell ref="AO43:AP43"/>
    <mergeCell ref="AQ43:AU43"/>
    <mergeCell ref="A44:B44"/>
    <mergeCell ref="C44:E44"/>
    <mergeCell ref="F44:G44"/>
    <mergeCell ref="L44:M44"/>
    <mergeCell ref="R44:S44"/>
    <mergeCell ref="V44:W44"/>
    <mergeCell ref="X44:Y44"/>
    <mergeCell ref="Z44:AA44"/>
    <mergeCell ref="AG44:AH44"/>
    <mergeCell ref="AK44:AL44"/>
    <mergeCell ref="AM44:AN44"/>
    <mergeCell ref="AO44:AP44"/>
    <mergeCell ref="AQ44:AU44"/>
    <mergeCell ref="A45:B45"/>
    <mergeCell ref="C45:E45"/>
    <mergeCell ref="F45:G45"/>
    <mergeCell ref="L45:M45"/>
    <mergeCell ref="R45:S45"/>
    <mergeCell ref="V45:W45"/>
    <mergeCell ref="X45:Y45"/>
    <mergeCell ref="Z45:AA45"/>
    <mergeCell ref="AG45:AH45"/>
    <mergeCell ref="AK45:AL45"/>
    <mergeCell ref="AM45:AN45"/>
    <mergeCell ref="AO45:AP45"/>
    <mergeCell ref="AQ45:AU45"/>
    <mergeCell ref="A46:B46"/>
    <mergeCell ref="C46:E46"/>
    <mergeCell ref="F46:G46"/>
    <mergeCell ref="L46:M46"/>
    <mergeCell ref="R46:S46"/>
    <mergeCell ref="V46:W46"/>
    <mergeCell ref="X46:Y46"/>
    <mergeCell ref="Z46:AA46"/>
    <mergeCell ref="AG46:AH46"/>
    <mergeCell ref="AK46:AL46"/>
    <mergeCell ref="AM46:AN46"/>
    <mergeCell ref="AO46:AP46"/>
    <mergeCell ref="AQ46:AU46"/>
    <mergeCell ref="A47:B47"/>
    <mergeCell ref="C47:E47"/>
    <mergeCell ref="F47:G47"/>
    <mergeCell ref="L47:M47"/>
    <mergeCell ref="R47:S47"/>
    <mergeCell ref="V47:W47"/>
    <mergeCell ref="X47:Y47"/>
    <mergeCell ref="Z47:AA47"/>
    <mergeCell ref="AG47:AH47"/>
    <mergeCell ref="AK47:AL47"/>
    <mergeCell ref="AM47:AN47"/>
    <mergeCell ref="AO47:AP47"/>
    <mergeCell ref="AQ47:AU47"/>
    <mergeCell ref="A48:B48"/>
    <mergeCell ref="C48:E48"/>
    <mergeCell ref="F48:G48"/>
    <mergeCell ref="L48:M48"/>
    <mergeCell ref="R48:S48"/>
    <mergeCell ref="V48:W48"/>
    <mergeCell ref="X48:Y48"/>
    <mergeCell ref="Z48:AA48"/>
    <mergeCell ref="AG48:AH48"/>
    <mergeCell ref="AK48:AL48"/>
    <mergeCell ref="AM48:AN48"/>
    <mergeCell ref="AO48:AP48"/>
    <mergeCell ref="AQ48:AU48"/>
    <mergeCell ref="AW48:AY48"/>
    <mergeCell ref="A49:B49"/>
    <mergeCell ref="C49:E49"/>
    <mergeCell ref="F49:G49"/>
    <mergeCell ref="L49:M49"/>
    <mergeCell ref="R49:S49"/>
    <mergeCell ref="V49:W49"/>
    <mergeCell ref="X49:Y49"/>
    <mergeCell ref="Z49:AA49"/>
    <mergeCell ref="AG49:AH49"/>
    <mergeCell ref="AK49:AL49"/>
    <mergeCell ref="AM49:AN49"/>
    <mergeCell ref="AO49:AP49"/>
    <mergeCell ref="AQ49:AU49"/>
    <mergeCell ref="A50:B50"/>
    <mergeCell ref="C50:E50"/>
    <mergeCell ref="F50:G50"/>
    <mergeCell ref="L50:M50"/>
    <mergeCell ref="R50:S50"/>
    <mergeCell ref="V50:W50"/>
    <mergeCell ref="X50:Y50"/>
    <mergeCell ref="Z50:AA50"/>
    <mergeCell ref="AG50:AH50"/>
    <mergeCell ref="AK50:AL50"/>
    <mergeCell ref="AM50:AN50"/>
    <mergeCell ref="AO50:AP50"/>
    <mergeCell ref="AQ50:AU50"/>
    <mergeCell ref="A51:X51"/>
    <mergeCell ref="Z51:AK51"/>
    <mergeCell ref="AM51:AO52"/>
    <mergeCell ref="AP51:AQ52"/>
    <mergeCell ref="AR51:AU51"/>
    <mergeCell ref="A52:X55"/>
    <mergeCell ref="Z52:AK53"/>
    <mergeCell ref="AT52:AU52"/>
    <mergeCell ref="AM53:AQ54"/>
    <mergeCell ref="AR53:AR54"/>
    <mergeCell ref="AS53:AS54"/>
    <mergeCell ref="AT53:AU54"/>
    <mergeCell ref="Z54:AK55"/>
    <mergeCell ref="AM55:AO56"/>
    <mergeCell ref="AP55:AQ56"/>
    <mergeCell ref="AR55:AR58"/>
    <mergeCell ref="AS55:AS58"/>
    <mergeCell ref="AT55:AU58"/>
    <mergeCell ref="B56:F58"/>
    <mergeCell ref="G56:S57"/>
    <mergeCell ref="T56:V58"/>
    <mergeCell ref="Z56:AK57"/>
    <mergeCell ref="AM57:AQ58"/>
    <mergeCell ref="G58:S58"/>
    <mergeCell ref="Z58:AK61"/>
    <mergeCell ref="B59:F60"/>
    <mergeCell ref="G59:S59"/>
    <mergeCell ref="AM59:AQ59"/>
    <mergeCell ref="G60:S60"/>
    <mergeCell ref="AM60:AQ60"/>
    <mergeCell ref="B61:F62"/>
    <mergeCell ref="G61:S61"/>
    <mergeCell ref="T61:V62"/>
    <mergeCell ref="AM61:AQ61"/>
    <mergeCell ref="AR63:AR64"/>
    <mergeCell ref="AS63:AS64"/>
    <mergeCell ref="AT63:AU64"/>
    <mergeCell ref="AR59:AR60"/>
    <mergeCell ref="AS59:AS60"/>
    <mergeCell ref="AT59:AU60"/>
    <mergeCell ref="AR61:AR62"/>
    <mergeCell ref="AS67:AS68"/>
    <mergeCell ref="AT67:AU68"/>
    <mergeCell ref="B68:X71"/>
    <mergeCell ref="AS61:AS62"/>
    <mergeCell ref="AT61:AU62"/>
    <mergeCell ref="G62:S62"/>
    <mergeCell ref="Z62:AK62"/>
    <mergeCell ref="AM62:AQ62"/>
    <mergeCell ref="Z63:AK67"/>
    <mergeCell ref="AM63:AQ64"/>
    <mergeCell ref="AR71:AR72"/>
    <mergeCell ref="AS71:AS72"/>
    <mergeCell ref="AT71:AU72"/>
    <mergeCell ref="A64:X67"/>
    <mergeCell ref="AM65:AQ65"/>
    <mergeCell ref="AT65:AU65"/>
    <mergeCell ref="AM66:AQ66"/>
    <mergeCell ref="AT66:AU66"/>
    <mergeCell ref="AM67:AQ68"/>
    <mergeCell ref="AR67:AR68"/>
    <mergeCell ref="AN78:AU79"/>
    <mergeCell ref="Z79:AK80"/>
    <mergeCell ref="AM80:AU81"/>
    <mergeCell ref="Z68:AK69"/>
    <mergeCell ref="AM69:AQ70"/>
    <mergeCell ref="AR69:AR70"/>
    <mergeCell ref="AS69:AS70"/>
    <mergeCell ref="AT69:AU70"/>
    <mergeCell ref="Z70:AK73"/>
    <mergeCell ref="AM71:AQ72"/>
    <mergeCell ref="Z82:AK82"/>
    <mergeCell ref="AN82:AT82"/>
    <mergeCell ref="Z83:AK83"/>
    <mergeCell ref="AN83:AU83"/>
    <mergeCell ref="Z74:AK74"/>
    <mergeCell ref="AM74:AU75"/>
    <mergeCell ref="Z75:AK76"/>
    <mergeCell ref="AN76:AU77"/>
    <mergeCell ref="Z77:AK77"/>
    <mergeCell ref="Z78:AK78"/>
  </mergeCells>
  <pageMargins left="0.27777777777777779" right="0.27777777777777779" top="0.27777777777777779" bottom="0.27777777777777779" header="0" footer="0"/>
  <pageSetup paperSize="9" firstPageNumber="0" fitToWidth="0" fitToHeight="0" pageOrder="overThenDown" orientation="landscape"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97924-F684-4470-A8B5-C36E19F55A42}">
  <sheetPr>
    <tabColor theme="1"/>
  </sheetPr>
  <dimension ref="A1:AY83"/>
  <sheetViews>
    <sheetView tabSelected="1" zoomScale="133" zoomScaleNormal="145" workbookViewId="0">
      <selection activeCell="N22" sqref="N22"/>
    </sheetView>
  </sheetViews>
  <sheetFormatPr defaultColWidth="8.7109375" defaultRowHeight="12.75"/>
  <cols>
    <col min="1" max="1" width="1.7109375" style="36" bestFit="1" customWidth="1"/>
    <col min="2" max="2" width="1.28515625" style="36" bestFit="1" customWidth="1"/>
    <col min="3" max="3" width="14.140625" style="36" bestFit="1" customWidth="1"/>
    <col min="4" max="4" width="8.7109375" style="36" bestFit="1" customWidth="1"/>
    <col min="5" max="5" width="0.28515625" style="36" bestFit="1" customWidth="1"/>
    <col min="6" max="6" width="0.7109375" style="36" bestFit="1" customWidth="1"/>
    <col min="7" max="7" width="2" style="36" bestFit="1" customWidth="1"/>
    <col min="8" max="11" width="3.7109375" style="36" bestFit="1" customWidth="1"/>
    <col min="12" max="12" width="2.5703125" style="36" bestFit="1" customWidth="1"/>
    <col min="13" max="13" width="0.28515625" style="36" bestFit="1" customWidth="1"/>
    <col min="14" max="17" width="3.7109375" style="36" bestFit="1" customWidth="1"/>
    <col min="18" max="18" width="0.7109375" style="36" bestFit="1" customWidth="1"/>
    <col min="19" max="19" width="2" style="36" bestFit="1" customWidth="1"/>
    <col min="20" max="21" width="3.7109375" style="36" bestFit="1" customWidth="1"/>
    <col min="22" max="22" width="0.7109375" style="36" bestFit="1" customWidth="1"/>
    <col min="23" max="23" width="2.28515625" style="36" bestFit="1" customWidth="1"/>
    <col min="24" max="24" width="1.28515625" style="36" bestFit="1" customWidth="1"/>
    <col min="25" max="26" width="1.7109375" style="36" bestFit="1" customWidth="1"/>
    <col min="27" max="27" width="1.28515625" style="36" bestFit="1" customWidth="1"/>
    <col min="28" max="31" width="3.28515625" style="36" bestFit="1" customWidth="1"/>
    <col min="32" max="32" width="3.7109375" style="36" bestFit="1" customWidth="1"/>
    <col min="33" max="33" width="2.7109375" style="36" bestFit="1" customWidth="1"/>
    <col min="34" max="34" width="0.28515625" style="36" bestFit="1" customWidth="1"/>
    <col min="35" max="36" width="3.7109375" style="36" bestFit="1" customWidth="1"/>
    <col min="37" max="37" width="1.28515625" style="36" bestFit="1" customWidth="1"/>
    <col min="38" max="39" width="1.7109375" style="36" bestFit="1" customWidth="1"/>
    <col min="40" max="41" width="5" style="36" bestFit="1" customWidth="1"/>
    <col min="42" max="42" width="1.7109375" style="36" bestFit="1" customWidth="1"/>
    <col min="43" max="43" width="10.140625" style="36" bestFit="1" customWidth="1"/>
    <col min="44" max="45" width="6.28515625" style="36" bestFit="1" customWidth="1"/>
    <col min="46" max="46" width="6.7109375" style="36" bestFit="1" customWidth="1"/>
    <col min="47" max="47" width="0.28515625" style="36" bestFit="1" customWidth="1"/>
    <col min="48" max="16384" width="8.7109375" style="36"/>
  </cols>
  <sheetData>
    <row r="1" spans="1:51" ht="30" customHeight="1">
      <c r="A1" s="291" t="s">
        <v>0</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row>
    <row r="2" spans="1:51" ht="19.899999999999999" customHeight="1">
      <c r="A2" s="292" t="s">
        <v>1</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row>
    <row r="3" spans="1:51" ht="19.899999999999999" customHeight="1" thickBot="1">
      <c r="A3" s="287" t="s">
        <v>2</v>
      </c>
      <c r="B3" s="72"/>
      <c r="C3" s="72"/>
      <c r="D3" s="72"/>
      <c r="E3" s="1"/>
      <c r="F3" s="284">
        <v>123456</v>
      </c>
      <c r="G3" s="285"/>
      <c r="H3" s="285"/>
      <c r="I3" s="286"/>
      <c r="J3" s="287" t="s">
        <v>3</v>
      </c>
      <c r="K3" s="72"/>
      <c r="L3" s="72"/>
      <c r="M3" s="284" t="s">
        <v>79</v>
      </c>
      <c r="N3" s="285"/>
      <c r="O3" s="285"/>
      <c r="P3" s="285"/>
      <c r="Q3" s="285"/>
      <c r="R3" s="286"/>
      <c r="S3" s="287" t="s">
        <v>4</v>
      </c>
      <c r="T3" s="72"/>
      <c r="U3" s="72"/>
      <c r="V3" s="72"/>
      <c r="W3" s="72"/>
      <c r="X3" s="72"/>
      <c r="Y3" s="72"/>
      <c r="Z3" s="72"/>
      <c r="AA3" s="284" t="s">
        <v>77</v>
      </c>
      <c r="AB3" s="285"/>
      <c r="AC3" s="285"/>
      <c r="AD3" s="285"/>
      <c r="AE3" s="285"/>
      <c r="AF3" s="285"/>
      <c r="AG3" s="286"/>
      <c r="AH3" s="1"/>
      <c r="AI3" s="1"/>
      <c r="AJ3" s="1"/>
      <c r="AK3" s="1"/>
      <c r="AL3" s="1"/>
      <c r="AM3" s="1"/>
      <c r="AN3" s="1"/>
      <c r="AO3" s="1"/>
      <c r="AP3" s="1"/>
      <c r="AQ3" s="1"/>
      <c r="AR3" s="1"/>
      <c r="AS3" s="1"/>
      <c r="AT3" s="1"/>
      <c r="AU3" s="1"/>
    </row>
    <row r="4" spans="1:51" ht="19.899999999999999" customHeight="1" thickBot="1">
      <c r="A4" s="287" t="s">
        <v>6</v>
      </c>
      <c r="B4" s="72"/>
      <c r="C4" s="72"/>
      <c r="D4" s="72"/>
      <c r="E4" s="1"/>
      <c r="F4" s="284" t="s">
        <v>80</v>
      </c>
      <c r="G4" s="285"/>
      <c r="H4" s="285"/>
      <c r="I4" s="285"/>
      <c r="J4" s="285"/>
      <c r="K4" s="285"/>
      <c r="L4" s="285"/>
      <c r="M4" s="285"/>
      <c r="N4" s="285"/>
      <c r="O4" s="285"/>
      <c r="P4" s="285"/>
      <c r="Q4" s="285"/>
      <c r="R4" s="286"/>
      <c r="S4" s="287" t="s">
        <v>7</v>
      </c>
      <c r="T4" s="72"/>
      <c r="U4" s="72"/>
      <c r="V4" s="72"/>
      <c r="W4" s="72"/>
      <c r="X4" s="72"/>
      <c r="Y4" s="72"/>
      <c r="Z4" s="72"/>
      <c r="AA4" s="284" t="s">
        <v>76</v>
      </c>
      <c r="AB4" s="285"/>
      <c r="AC4" s="285"/>
      <c r="AD4" s="285"/>
      <c r="AE4" s="285"/>
      <c r="AF4" s="285"/>
      <c r="AG4" s="286"/>
      <c r="AH4" s="1"/>
      <c r="AI4" s="287" t="s">
        <v>8</v>
      </c>
      <c r="AJ4" s="72"/>
      <c r="AK4" s="72"/>
      <c r="AL4" s="72"/>
      <c r="AM4" s="284" t="s">
        <v>78</v>
      </c>
      <c r="AN4" s="285"/>
      <c r="AO4" s="285"/>
      <c r="AP4" s="285"/>
      <c r="AQ4" s="285"/>
      <c r="AR4" s="285"/>
      <c r="AS4" s="285"/>
      <c r="AT4" s="285"/>
      <c r="AU4" s="286"/>
      <c r="AW4" s="288" t="s">
        <v>73</v>
      </c>
      <c r="AX4" s="289"/>
      <c r="AY4" s="290"/>
    </row>
    <row r="5" spans="1:51" ht="10.15" customHeight="1">
      <c r="A5" s="259" t="s">
        <v>9</v>
      </c>
      <c r="B5" s="260"/>
      <c r="C5" s="259" t="s">
        <v>10</v>
      </c>
      <c r="D5" s="265"/>
      <c r="E5" s="260"/>
      <c r="F5" s="267" t="s">
        <v>11</v>
      </c>
      <c r="G5" s="268"/>
      <c r="H5" s="268"/>
      <c r="I5" s="268"/>
      <c r="J5" s="268"/>
      <c r="K5" s="268"/>
      <c r="L5" s="268"/>
      <c r="M5" s="268"/>
      <c r="N5" s="268"/>
      <c r="O5" s="268"/>
      <c r="P5" s="268"/>
      <c r="Q5" s="268"/>
      <c r="R5" s="268"/>
      <c r="S5" s="268"/>
      <c r="T5" s="268"/>
      <c r="U5" s="268"/>
      <c r="V5" s="268"/>
      <c r="W5" s="268"/>
      <c r="X5" s="268"/>
      <c r="Y5" s="268"/>
      <c r="Z5" s="268"/>
      <c r="AA5" s="268"/>
      <c r="AB5" s="268"/>
      <c r="AC5" s="268"/>
      <c r="AD5" s="268"/>
      <c r="AE5" s="268"/>
      <c r="AF5" s="268"/>
      <c r="AG5" s="268"/>
      <c r="AH5" s="268"/>
      <c r="AI5" s="268"/>
      <c r="AJ5" s="268"/>
      <c r="AK5" s="268"/>
      <c r="AL5" s="269"/>
      <c r="AM5" s="270" t="s">
        <v>12</v>
      </c>
      <c r="AN5" s="271"/>
      <c r="AO5" s="271"/>
      <c r="AP5" s="272"/>
      <c r="AQ5" s="276" t="s">
        <v>13</v>
      </c>
      <c r="AR5" s="277"/>
      <c r="AS5" s="277"/>
      <c r="AT5" s="277"/>
      <c r="AU5" s="278"/>
      <c r="AW5" s="281">
        <v>11</v>
      </c>
      <c r="AX5" s="282"/>
      <c r="AY5" s="283"/>
    </row>
    <row r="6" spans="1:51" ht="15" customHeight="1" thickBot="1">
      <c r="A6" s="261"/>
      <c r="B6" s="262"/>
      <c r="C6" s="261"/>
      <c r="D6" s="72"/>
      <c r="E6" s="262"/>
      <c r="F6" s="257"/>
      <c r="G6" s="256"/>
      <c r="H6" s="9">
        <v>1</v>
      </c>
      <c r="I6" s="9">
        <v>2</v>
      </c>
      <c r="J6" s="9">
        <v>3</v>
      </c>
      <c r="K6" s="9">
        <v>4</v>
      </c>
      <c r="L6" s="257">
        <v>7</v>
      </c>
      <c r="M6" s="256"/>
      <c r="N6" s="9">
        <v>8</v>
      </c>
      <c r="O6" s="9">
        <v>9</v>
      </c>
      <c r="P6" s="9">
        <v>10</v>
      </c>
      <c r="Q6" s="9">
        <v>11</v>
      </c>
      <c r="R6" s="257">
        <v>14</v>
      </c>
      <c r="S6" s="256"/>
      <c r="T6" s="9">
        <v>15</v>
      </c>
      <c r="U6" s="9">
        <v>16</v>
      </c>
      <c r="V6" s="255">
        <v>17</v>
      </c>
      <c r="W6" s="256"/>
      <c r="X6" s="255">
        <v>18</v>
      </c>
      <c r="Y6" s="256"/>
      <c r="Z6" s="257">
        <v>21</v>
      </c>
      <c r="AA6" s="256"/>
      <c r="AB6" s="9">
        <v>22</v>
      </c>
      <c r="AC6" s="9">
        <v>23</v>
      </c>
      <c r="AD6" s="9">
        <v>24</v>
      </c>
      <c r="AE6" s="9">
        <v>25</v>
      </c>
      <c r="AF6" s="10">
        <v>28</v>
      </c>
      <c r="AG6" s="255">
        <v>29</v>
      </c>
      <c r="AH6" s="256"/>
      <c r="AI6" s="9">
        <v>30</v>
      </c>
      <c r="AJ6" s="9">
        <v>31</v>
      </c>
      <c r="AK6" s="255"/>
      <c r="AL6" s="256"/>
      <c r="AM6" s="273"/>
      <c r="AN6" s="274"/>
      <c r="AO6" s="274"/>
      <c r="AP6" s="275"/>
      <c r="AQ6" s="87"/>
      <c r="AR6" s="72"/>
      <c r="AS6" s="72"/>
      <c r="AT6" s="72"/>
      <c r="AU6" s="279"/>
      <c r="AW6" s="281"/>
      <c r="AX6" s="282"/>
      <c r="AY6" s="283"/>
    </row>
    <row r="7" spans="1:51" ht="15" customHeight="1" thickBot="1">
      <c r="A7" s="263"/>
      <c r="B7" s="264"/>
      <c r="C7" s="263"/>
      <c r="D7" s="266"/>
      <c r="E7" s="264"/>
      <c r="F7" s="258" t="s">
        <v>14</v>
      </c>
      <c r="G7" s="252"/>
      <c r="H7" s="13" t="s">
        <v>15</v>
      </c>
      <c r="I7" s="13" t="s">
        <v>16</v>
      </c>
      <c r="J7" s="13" t="s">
        <v>17</v>
      </c>
      <c r="K7" s="13" t="s">
        <v>18</v>
      </c>
      <c r="L7" s="258" t="s">
        <v>14</v>
      </c>
      <c r="M7" s="252"/>
      <c r="N7" s="13" t="s">
        <v>15</v>
      </c>
      <c r="O7" s="13" t="s">
        <v>16</v>
      </c>
      <c r="P7" s="13" t="s">
        <v>17</v>
      </c>
      <c r="Q7" s="13" t="s">
        <v>18</v>
      </c>
      <c r="R7" s="258" t="s">
        <v>14</v>
      </c>
      <c r="S7" s="252"/>
      <c r="T7" s="13" t="s">
        <v>15</v>
      </c>
      <c r="U7" s="13" t="s">
        <v>16</v>
      </c>
      <c r="V7" s="251" t="s">
        <v>17</v>
      </c>
      <c r="W7" s="252"/>
      <c r="X7" s="251" t="s">
        <v>18</v>
      </c>
      <c r="Y7" s="252"/>
      <c r="Z7" s="258" t="s">
        <v>14</v>
      </c>
      <c r="AA7" s="252"/>
      <c r="AB7" s="13" t="s">
        <v>15</v>
      </c>
      <c r="AC7" s="13" t="s">
        <v>16</v>
      </c>
      <c r="AD7" s="13" t="s">
        <v>17</v>
      </c>
      <c r="AE7" s="13" t="s">
        <v>18</v>
      </c>
      <c r="AF7" s="14" t="s">
        <v>14</v>
      </c>
      <c r="AG7" s="251" t="s">
        <v>15</v>
      </c>
      <c r="AH7" s="252"/>
      <c r="AI7" s="13" t="s">
        <v>16</v>
      </c>
      <c r="AJ7" s="13" t="s">
        <v>17</v>
      </c>
      <c r="AK7" s="251" t="s">
        <v>18</v>
      </c>
      <c r="AL7" s="252"/>
      <c r="AM7" s="253" t="s">
        <v>19</v>
      </c>
      <c r="AN7" s="254"/>
      <c r="AO7" s="253" t="s">
        <v>20</v>
      </c>
      <c r="AP7" s="254"/>
      <c r="AQ7" s="90"/>
      <c r="AR7" s="91"/>
      <c r="AS7" s="91"/>
      <c r="AT7" s="91"/>
      <c r="AU7" s="280"/>
      <c r="AW7" s="8"/>
      <c r="AY7" s="7"/>
    </row>
    <row r="8" spans="1:51" ht="19.899999999999999" customHeight="1" thickBot="1">
      <c r="A8" s="220">
        <v>1</v>
      </c>
      <c r="B8" s="221"/>
      <c r="C8" s="246" t="s">
        <v>81</v>
      </c>
      <c r="D8" s="247"/>
      <c r="E8" s="248"/>
      <c r="F8" s="230"/>
      <c r="G8" s="228"/>
      <c r="H8" s="9"/>
      <c r="I8" s="9"/>
      <c r="J8" s="9"/>
      <c r="K8" s="11"/>
      <c r="L8" s="230"/>
      <c r="M8" s="228"/>
      <c r="N8" s="9"/>
      <c r="O8" s="9"/>
      <c r="P8" s="9"/>
      <c r="Q8" s="11"/>
      <c r="R8" s="230"/>
      <c r="S8" s="228"/>
      <c r="T8" s="9"/>
      <c r="U8" s="9"/>
      <c r="V8" s="227"/>
      <c r="W8" s="228"/>
      <c r="X8" s="227"/>
      <c r="Y8" s="229"/>
      <c r="Z8" s="230"/>
      <c r="AA8" s="228"/>
      <c r="AB8" s="9"/>
      <c r="AC8" s="9"/>
      <c r="AD8" s="9"/>
      <c r="AE8" s="11"/>
      <c r="AF8" s="10"/>
      <c r="AG8" s="227"/>
      <c r="AH8" s="228"/>
      <c r="AI8" s="9"/>
      <c r="AJ8" s="9"/>
      <c r="AK8" s="227" t="s">
        <v>5</v>
      </c>
      <c r="AL8" s="229"/>
      <c r="AM8" s="212">
        <f t="shared" ref="AM8:AM28" si="0">COUNTIF(F8:AL8,"X")</f>
        <v>0</v>
      </c>
      <c r="AN8" s="213"/>
      <c r="AO8" s="212">
        <f t="shared" ref="AO8:AO28" si="1">$AW$5-AM8</f>
        <v>11</v>
      </c>
      <c r="AP8" s="213"/>
      <c r="AQ8" s="214" t="s">
        <v>5</v>
      </c>
      <c r="AR8" s="215"/>
      <c r="AS8" s="215"/>
      <c r="AT8" s="215"/>
      <c r="AU8" s="216"/>
      <c r="AW8" s="8"/>
      <c r="AY8" s="7"/>
    </row>
    <row r="9" spans="1:51" ht="19.899999999999999" customHeight="1" thickBot="1">
      <c r="A9" s="220">
        <v>2</v>
      </c>
      <c r="B9" s="221"/>
      <c r="C9" s="246" t="s">
        <v>81</v>
      </c>
      <c r="D9" s="247"/>
      <c r="E9" s="248"/>
      <c r="F9" s="230"/>
      <c r="G9" s="228"/>
      <c r="H9" s="9"/>
      <c r="I9" s="9"/>
      <c r="J9" s="9"/>
      <c r="K9" s="11"/>
      <c r="L9" s="230"/>
      <c r="M9" s="228"/>
      <c r="N9" s="9"/>
      <c r="O9" s="9"/>
      <c r="P9" s="9"/>
      <c r="Q9" s="11"/>
      <c r="R9" s="230"/>
      <c r="S9" s="228"/>
      <c r="T9" s="9"/>
      <c r="U9" s="9"/>
      <c r="V9" s="227"/>
      <c r="W9" s="228"/>
      <c r="X9" s="227"/>
      <c r="Y9" s="229"/>
      <c r="Z9" s="230"/>
      <c r="AA9" s="228"/>
      <c r="AB9" s="9"/>
      <c r="AC9" s="9"/>
      <c r="AD9" s="9"/>
      <c r="AE9" s="11"/>
      <c r="AF9" s="10"/>
      <c r="AG9" s="227"/>
      <c r="AH9" s="228"/>
      <c r="AI9" s="9"/>
      <c r="AJ9" s="9"/>
      <c r="AK9" s="227" t="s">
        <v>5</v>
      </c>
      <c r="AL9" s="229"/>
      <c r="AM9" s="212">
        <f t="shared" si="0"/>
        <v>0</v>
      </c>
      <c r="AN9" s="213"/>
      <c r="AO9" s="212">
        <f t="shared" si="1"/>
        <v>11</v>
      </c>
      <c r="AP9" s="213"/>
      <c r="AQ9" s="214" t="s">
        <v>5</v>
      </c>
      <c r="AR9" s="215"/>
      <c r="AS9" s="215"/>
      <c r="AT9" s="215"/>
      <c r="AU9" s="216"/>
      <c r="AW9" s="8"/>
      <c r="AY9" s="7"/>
    </row>
    <row r="10" spans="1:51" ht="19.899999999999999" customHeight="1" thickBot="1">
      <c r="A10" s="220">
        <v>3</v>
      </c>
      <c r="B10" s="221"/>
      <c r="C10" s="246" t="s">
        <v>81</v>
      </c>
      <c r="D10" s="247"/>
      <c r="E10" s="248"/>
      <c r="F10" s="230"/>
      <c r="G10" s="228"/>
      <c r="H10" s="9"/>
      <c r="I10" s="9"/>
      <c r="J10" s="9"/>
      <c r="K10" s="11"/>
      <c r="L10" s="230"/>
      <c r="M10" s="228"/>
      <c r="N10" s="9"/>
      <c r="O10" s="9"/>
      <c r="P10" s="9"/>
      <c r="Q10" s="11"/>
      <c r="R10" s="230"/>
      <c r="S10" s="228"/>
      <c r="T10" s="9"/>
      <c r="U10" s="9"/>
      <c r="V10" s="227"/>
      <c r="W10" s="228"/>
      <c r="X10" s="227"/>
      <c r="Y10" s="229"/>
      <c r="Z10" s="230"/>
      <c r="AA10" s="228"/>
      <c r="AB10" s="9"/>
      <c r="AC10" s="9"/>
      <c r="AD10" s="9"/>
      <c r="AE10" s="11"/>
      <c r="AF10" s="10"/>
      <c r="AG10" s="227"/>
      <c r="AH10" s="228"/>
      <c r="AI10" s="9"/>
      <c r="AJ10" s="9"/>
      <c r="AK10" s="227" t="s">
        <v>5</v>
      </c>
      <c r="AL10" s="229"/>
      <c r="AM10" s="212">
        <f t="shared" si="0"/>
        <v>0</v>
      </c>
      <c r="AN10" s="213"/>
      <c r="AO10" s="212">
        <f t="shared" si="1"/>
        <v>11</v>
      </c>
      <c r="AP10" s="213"/>
      <c r="AQ10" s="214" t="s">
        <v>5</v>
      </c>
      <c r="AR10" s="215"/>
      <c r="AS10" s="215"/>
      <c r="AT10" s="215"/>
      <c r="AU10" s="216"/>
      <c r="AW10" s="8"/>
      <c r="AY10" s="7"/>
    </row>
    <row r="11" spans="1:51" ht="19.899999999999999" customHeight="1" thickBot="1">
      <c r="A11" s="220">
        <v>4</v>
      </c>
      <c r="B11" s="221"/>
      <c r="C11" s="246" t="s">
        <v>81</v>
      </c>
      <c r="D11" s="247"/>
      <c r="E11" s="248"/>
      <c r="F11" s="230"/>
      <c r="G11" s="228"/>
      <c r="H11" s="9"/>
      <c r="I11" s="9"/>
      <c r="J11" s="9"/>
      <c r="K11" s="11"/>
      <c r="L11" s="230"/>
      <c r="M11" s="228"/>
      <c r="N11" s="9"/>
      <c r="O11" s="9"/>
      <c r="P11" s="9"/>
      <c r="Q11" s="11"/>
      <c r="R11" s="230"/>
      <c r="S11" s="228"/>
      <c r="T11" s="9"/>
      <c r="U11" s="9"/>
      <c r="V11" s="227"/>
      <c r="W11" s="228"/>
      <c r="X11" s="227"/>
      <c r="Y11" s="229"/>
      <c r="Z11" s="230"/>
      <c r="AA11" s="228"/>
      <c r="AB11" s="9"/>
      <c r="AC11" s="9"/>
      <c r="AD11" s="9"/>
      <c r="AE11" s="11"/>
      <c r="AF11" s="10"/>
      <c r="AG11" s="227"/>
      <c r="AH11" s="228"/>
      <c r="AI11" s="9"/>
      <c r="AJ11" s="9"/>
      <c r="AK11" s="227" t="s">
        <v>5</v>
      </c>
      <c r="AL11" s="229"/>
      <c r="AM11" s="212">
        <f t="shared" si="0"/>
        <v>0</v>
      </c>
      <c r="AN11" s="213"/>
      <c r="AO11" s="212">
        <f t="shared" si="1"/>
        <v>11</v>
      </c>
      <c r="AP11" s="213"/>
      <c r="AQ11" s="214" t="s">
        <v>5</v>
      </c>
      <c r="AR11" s="215"/>
      <c r="AS11" s="215"/>
      <c r="AT11" s="215"/>
      <c r="AU11" s="216"/>
      <c r="AW11" s="8"/>
      <c r="AY11" s="7"/>
    </row>
    <row r="12" spans="1:51" ht="19.899999999999999" customHeight="1" thickBot="1">
      <c r="A12" s="220">
        <v>5</v>
      </c>
      <c r="B12" s="221"/>
      <c r="C12" s="246" t="s">
        <v>81</v>
      </c>
      <c r="D12" s="247"/>
      <c r="E12" s="248"/>
      <c r="F12" s="230"/>
      <c r="G12" s="228"/>
      <c r="H12" s="9"/>
      <c r="I12" s="9"/>
      <c r="J12" s="9"/>
      <c r="K12" s="11"/>
      <c r="L12" s="230"/>
      <c r="M12" s="228"/>
      <c r="N12" s="9"/>
      <c r="O12" s="9"/>
      <c r="P12" s="9"/>
      <c r="Q12" s="11"/>
      <c r="R12" s="230"/>
      <c r="S12" s="228"/>
      <c r="T12" s="9"/>
      <c r="U12" s="9"/>
      <c r="V12" s="227"/>
      <c r="W12" s="228"/>
      <c r="X12" s="227"/>
      <c r="Y12" s="229"/>
      <c r="Z12" s="230"/>
      <c r="AA12" s="228"/>
      <c r="AB12" s="9"/>
      <c r="AC12" s="9"/>
      <c r="AD12" s="9"/>
      <c r="AE12" s="11"/>
      <c r="AF12" s="10"/>
      <c r="AG12" s="227"/>
      <c r="AH12" s="228"/>
      <c r="AI12" s="9"/>
      <c r="AJ12" s="9"/>
      <c r="AK12" s="227" t="s">
        <v>5</v>
      </c>
      <c r="AL12" s="229"/>
      <c r="AM12" s="212">
        <f t="shared" si="0"/>
        <v>0</v>
      </c>
      <c r="AN12" s="213"/>
      <c r="AO12" s="212">
        <f t="shared" si="1"/>
        <v>11</v>
      </c>
      <c r="AP12" s="213"/>
      <c r="AQ12" s="214" t="s">
        <v>5</v>
      </c>
      <c r="AR12" s="215"/>
      <c r="AS12" s="215"/>
      <c r="AT12" s="215"/>
      <c r="AU12" s="216"/>
      <c r="AW12" s="8"/>
      <c r="AY12" s="7"/>
    </row>
    <row r="13" spans="1:51" ht="19.899999999999999" customHeight="1" thickBot="1">
      <c r="A13" s="220">
        <v>6</v>
      </c>
      <c r="B13" s="221"/>
      <c r="C13" s="246" t="s">
        <v>81</v>
      </c>
      <c r="D13" s="247"/>
      <c r="E13" s="248"/>
      <c r="F13" s="230"/>
      <c r="G13" s="228"/>
      <c r="H13" s="9"/>
      <c r="I13" s="9"/>
      <c r="J13" s="9"/>
      <c r="K13" s="11"/>
      <c r="L13" s="230"/>
      <c r="M13" s="228"/>
      <c r="N13" s="9"/>
      <c r="O13" s="9"/>
      <c r="P13" s="9"/>
      <c r="Q13" s="11"/>
      <c r="R13" s="230"/>
      <c r="S13" s="228"/>
      <c r="T13" s="9"/>
      <c r="U13" s="9"/>
      <c r="V13" s="227"/>
      <c r="W13" s="228"/>
      <c r="X13" s="227"/>
      <c r="Y13" s="229"/>
      <c r="Z13" s="230"/>
      <c r="AA13" s="228"/>
      <c r="AB13" s="9"/>
      <c r="AC13" s="9"/>
      <c r="AD13" s="9"/>
      <c r="AE13" s="11"/>
      <c r="AF13" s="10"/>
      <c r="AG13" s="227"/>
      <c r="AH13" s="228"/>
      <c r="AI13" s="9"/>
      <c r="AJ13" s="9"/>
      <c r="AK13" s="227" t="s">
        <v>5</v>
      </c>
      <c r="AL13" s="229"/>
      <c r="AM13" s="212">
        <f t="shared" si="0"/>
        <v>0</v>
      </c>
      <c r="AN13" s="213"/>
      <c r="AO13" s="212">
        <f t="shared" si="1"/>
        <v>11</v>
      </c>
      <c r="AP13" s="213"/>
      <c r="AQ13" s="214" t="s">
        <v>5</v>
      </c>
      <c r="AR13" s="215"/>
      <c r="AS13" s="215"/>
      <c r="AT13" s="215"/>
      <c r="AU13" s="216"/>
      <c r="AW13" s="8"/>
      <c r="AY13" s="7"/>
    </row>
    <row r="14" spans="1:51" ht="19.899999999999999" customHeight="1" thickBot="1">
      <c r="A14" s="220">
        <v>7</v>
      </c>
      <c r="B14" s="221"/>
      <c r="C14" s="246" t="s">
        <v>81</v>
      </c>
      <c r="D14" s="247"/>
      <c r="E14" s="248"/>
      <c r="F14" s="230"/>
      <c r="G14" s="228"/>
      <c r="H14" s="9"/>
      <c r="I14" s="9"/>
      <c r="J14" s="9"/>
      <c r="K14" s="11"/>
      <c r="L14" s="230"/>
      <c r="M14" s="228"/>
      <c r="N14" s="9"/>
      <c r="O14" s="9"/>
      <c r="P14" s="9"/>
      <c r="Q14" s="11"/>
      <c r="R14" s="230"/>
      <c r="S14" s="228"/>
      <c r="T14" s="9"/>
      <c r="U14" s="9"/>
      <c r="V14" s="227"/>
      <c r="W14" s="228"/>
      <c r="X14" s="227"/>
      <c r="Y14" s="229"/>
      <c r="Z14" s="230"/>
      <c r="AA14" s="228"/>
      <c r="AB14" s="9"/>
      <c r="AC14" s="9"/>
      <c r="AD14" s="9"/>
      <c r="AE14" s="11"/>
      <c r="AF14" s="10"/>
      <c r="AG14" s="227"/>
      <c r="AH14" s="228"/>
      <c r="AI14" s="9"/>
      <c r="AJ14" s="9"/>
      <c r="AK14" s="227" t="s">
        <v>5</v>
      </c>
      <c r="AL14" s="229"/>
      <c r="AM14" s="212">
        <f t="shared" si="0"/>
        <v>0</v>
      </c>
      <c r="AN14" s="213"/>
      <c r="AO14" s="212">
        <f t="shared" si="1"/>
        <v>11</v>
      </c>
      <c r="AP14" s="213"/>
      <c r="AQ14" s="214" t="s">
        <v>5</v>
      </c>
      <c r="AR14" s="215"/>
      <c r="AS14" s="215"/>
      <c r="AT14" s="215"/>
      <c r="AU14" s="216"/>
      <c r="AW14" s="8"/>
      <c r="AY14" s="7"/>
    </row>
    <row r="15" spans="1:51" ht="19.899999999999999" customHeight="1" thickBot="1">
      <c r="A15" s="220">
        <v>8</v>
      </c>
      <c r="B15" s="221"/>
      <c r="C15" s="246" t="s">
        <v>81</v>
      </c>
      <c r="D15" s="247"/>
      <c r="E15" s="248"/>
      <c r="F15" s="230"/>
      <c r="G15" s="228"/>
      <c r="H15" s="9"/>
      <c r="I15" s="9"/>
      <c r="J15" s="9"/>
      <c r="K15" s="11"/>
      <c r="L15" s="230"/>
      <c r="M15" s="228"/>
      <c r="N15" s="9"/>
      <c r="O15" s="9"/>
      <c r="P15" s="9"/>
      <c r="Q15" s="11"/>
      <c r="R15" s="230"/>
      <c r="S15" s="228"/>
      <c r="T15" s="9"/>
      <c r="U15" s="9"/>
      <c r="V15" s="227"/>
      <c r="W15" s="228"/>
      <c r="X15" s="227"/>
      <c r="Y15" s="229"/>
      <c r="Z15" s="230"/>
      <c r="AA15" s="228"/>
      <c r="AB15" s="9"/>
      <c r="AC15" s="9"/>
      <c r="AD15" s="9"/>
      <c r="AE15" s="11"/>
      <c r="AF15" s="10"/>
      <c r="AG15" s="227"/>
      <c r="AH15" s="228"/>
      <c r="AI15" s="9"/>
      <c r="AJ15" s="9"/>
      <c r="AK15" s="227" t="s">
        <v>5</v>
      </c>
      <c r="AL15" s="229"/>
      <c r="AM15" s="212">
        <f t="shared" si="0"/>
        <v>0</v>
      </c>
      <c r="AN15" s="213"/>
      <c r="AO15" s="212">
        <f t="shared" si="1"/>
        <v>11</v>
      </c>
      <c r="AP15" s="213"/>
      <c r="AQ15" s="214" t="s">
        <v>5</v>
      </c>
      <c r="AR15" s="215"/>
      <c r="AS15" s="215"/>
      <c r="AT15" s="215"/>
      <c r="AU15" s="216"/>
      <c r="AW15" s="8"/>
      <c r="AY15" s="7"/>
    </row>
    <row r="16" spans="1:51" ht="19.899999999999999" customHeight="1" thickBot="1">
      <c r="A16" s="220">
        <v>9</v>
      </c>
      <c r="B16" s="221"/>
      <c r="C16" s="246" t="s">
        <v>81</v>
      </c>
      <c r="D16" s="247"/>
      <c r="E16" s="248"/>
      <c r="F16" s="230"/>
      <c r="G16" s="228"/>
      <c r="H16" s="9"/>
      <c r="I16" s="9"/>
      <c r="J16" s="9"/>
      <c r="K16" s="11"/>
      <c r="L16" s="230"/>
      <c r="M16" s="228"/>
      <c r="N16" s="9"/>
      <c r="O16" s="9"/>
      <c r="P16" s="9"/>
      <c r="Q16" s="11"/>
      <c r="R16" s="230"/>
      <c r="S16" s="228"/>
      <c r="T16" s="9"/>
      <c r="U16" s="9"/>
      <c r="V16" s="227"/>
      <c r="W16" s="228"/>
      <c r="X16" s="227"/>
      <c r="Y16" s="229"/>
      <c r="Z16" s="230"/>
      <c r="AA16" s="228"/>
      <c r="AB16" s="9"/>
      <c r="AC16" s="9"/>
      <c r="AD16" s="9"/>
      <c r="AE16" s="11"/>
      <c r="AF16" s="10"/>
      <c r="AG16" s="227"/>
      <c r="AH16" s="228"/>
      <c r="AI16" s="9"/>
      <c r="AJ16" s="9"/>
      <c r="AK16" s="227" t="s">
        <v>5</v>
      </c>
      <c r="AL16" s="229"/>
      <c r="AM16" s="212">
        <f t="shared" si="0"/>
        <v>0</v>
      </c>
      <c r="AN16" s="213"/>
      <c r="AO16" s="212">
        <f t="shared" si="1"/>
        <v>11</v>
      </c>
      <c r="AP16" s="213"/>
      <c r="AQ16" s="214" t="s">
        <v>5</v>
      </c>
      <c r="AR16" s="215"/>
      <c r="AS16" s="215"/>
      <c r="AT16" s="215"/>
      <c r="AU16" s="216"/>
      <c r="AW16" s="8"/>
      <c r="AY16" s="7"/>
    </row>
    <row r="17" spans="1:51" ht="19.899999999999999" customHeight="1" thickBot="1">
      <c r="A17" s="220">
        <v>10</v>
      </c>
      <c r="B17" s="221"/>
      <c r="C17" s="246" t="s">
        <v>81</v>
      </c>
      <c r="D17" s="247"/>
      <c r="E17" s="248"/>
      <c r="F17" s="230"/>
      <c r="G17" s="228"/>
      <c r="H17" s="9"/>
      <c r="I17" s="9"/>
      <c r="J17" s="9"/>
      <c r="K17" s="11"/>
      <c r="L17" s="230"/>
      <c r="M17" s="228"/>
      <c r="N17" s="9"/>
      <c r="O17" s="9"/>
      <c r="P17" s="9"/>
      <c r="Q17" s="11"/>
      <c r="R17" s="230"/>
      <c r="S17" s="228"/>
      <c r="T17" s="9"/>
      <c r="U17" s="9"/>
      <c r="V17" s="227"/>
      <c r="W17" s="228"/>
      <c r="X17" s="227"/>
      <c r="Y17" s="229"/>
      <c r="Z17" s="230"/>
      <c r="AA17" s="228"/>
      <c r="AB17" s="9"/>
      <c r="AC17" s="9"/>
      <c r="AD17" s="9"/>
      <c r="AE17" s="11"/>
      <c r="AF17" s="10"/>
      <c r="AG17" s="227"/>
      <c r="AH17" s="228"/>
      <c r="AI17" s="9"/>
      <c r="AJ17" s="9"/>
      <c r="AK17" s="227" t="s">
        <v>5</v>
      </c>
      <c r="AL17" s="229"/>
      <c r="AM17" s="212">
        <f t="shared" si="0"/>
        <v>0</v>
      </c>
      <c r="AN17" s="213"/>
      <c r="AO17" s="212">
        <f t="shared" si="1"/>
        <v>11</v>
      </c>
      <c r="AP17" s="213"/>
      <c r="AQ17" s="214" t="s">
        <v>5</v>
      </c>
      <c r="AR17" s="215"/>
      <c r="AS17" s="215"/>
      <c r="AT17" s="215"/>
      <c r="AU17" s="216"/>
      <c r="AW17" s="8"/>
      <c r="AY17" s="7"/>
    </row>
    <row r="18" spans="1:51" ht="19.899999999999999" customHeight="1" thickBot="1">
      <c r="A18" s="220">
        <v>11</v>
      </c>
      <c r="B18" s="221"/>
      <c r="C18" s="246" t="s">
        <v>81</v>
      </c>
      <c r="D18" s="247"/>
      <c r="E18" s="248"/>
      <c r="F18" s="230"/>
      <c r="G18" s="228"/>
      <c r="H18" s="9"/>
      <c r="I18" s="9" t="s">
        <v>5</v>
      </c>
      <c r="J18" s="9" t="s">
        <v>5</v>
      </c>
      <c r="K18" s="11" t="s">
        <v>5</v>
      </c>
      <c r="L18" s="230"/>
      <c r="M18" s="228"/>
      <c r="N18" s="9"/>
      <c r="O18" s="9"/>
      <c r="P18" s="9"/>
      <c r="Q18" s="11"/>
      <c r="R18" s="230"/>
      <c r="S18" s="228"/>
      <c r="T18" s="9"/>
      <c r="U18" s="9"/>
      <c r="V18" s="227"/>
      <c r="W18" s="228"/>
      <c r="X18" s="227"/>
      <c r="Y18" s="229"/>
      <c r="Z18" s="230"/>
      <c r="AA18" s="228"/>
      <c r="AB18" s="9"/>
      <c r="AC18" s="9"/>
      <c r="AD18" s="9"/>
      <c r="AE18" s="11"/>
      <c r="AF18" s="10"/>
      <c r="AG18" s="227"/>
      <c r="AH18" s="228"/>
      <c r="AI18" s="9"/>
      <c r="AJ18" s="9"/>
      <c r="AK18" s="227" t="s">
        <v>5</v>
      </c>
      <c r="AL18" s="229"/>
      <c r="AM18" s="212">
        <f t="shared" si="0"/>
        <v>0</v>
      </c>
      <c r="AN18" s="213"/>
      <c r="AO18" s="212">
        <f t="shared" si="1"/>
        <v>11</v>
      </c>
      <c r="AP18" s="213"/>
      <c r="AQ18" s="214" t="s">
        <v>5</v>
      </c>
      <c r="AR18" s="215"/>
      <c r="AS18" s="215"/>
      <c r="AT18" s="215"/>
      <c r="AU18" s="216"/>
      <c r="AW18" s="8"/>
      <c r="AY18" s="7"/>
    </row>
    <row r="19" spans="1:51" ht="19.899999999999999" customHeight="1" thickBot="1">
      <c r="A19" s="220">
        <v>12</v>
      </c>
      <c r="B19" s="221"/>
      <c r="C19" s="246" t="s">
        <v>81</v>
      </c>
      <c r="D19" s="247"/>
      <c r="E19" s="248"/>
      <c r="F19" s="230"/>
      <c r="G19" s="228"/>
      <c r="H19" s="9"/>
      <c r="I19" s="9" t="s">
        <v>5</v>
      </c>
      <c r="J19" s="9" t="s">
        <v>5</v>
      </c>
      <c r="K19" s="11" t="s">
        <v>5</v>
      </c>
      <c r="L19" s="230"/>
      <c r="M19" s="228"/>
      <c r="N19" s="9"/>
      <c r="O19" s="9"/>
      <c r="P19" s="9"/>
      <c r="Q19" s="11"/>
      <c r="R19" s="230"/>
      <c r="S19" s="228"/>
      <c r="T19" s="9"/>
      <c r="U19" s="9"/>
      <c r="V19" s="227"/>
      <c r="W19" s="228"/>
      <c r="X19" s="227"/>
      <c r="Y19" s="229"/>
      <c r="Z19" s="230"/>
      <c r="AA19" s="228"/>
      <c r="AB19" s="9"/>
      <c r="AC19" s="9"/>
      <c r="AD19" s="9"/>
      <c r="AE19" s="11"/>
      <c r="AF19" s="10"/>
      <c r="AG19" s="227"/>
      <c r="AH19" s="228"/>
      <c r="AI19" s="9"/>
      <c r="AJ19" s="9"/>
      <c r="AK19" s="227" t="s">
        <v>5</v>
      </c>
      <c r="AL19" s="229"/>
      <c r="AM19" s="212">
        <f t="shared" si="0"/>
        <v>0</v>
      </c>
      <c r="AN19" s="213"/>
      <c r="AO19" s="212">
        <f t="shared" si="1"/>
        <v>11</v>
      </c>
      <c r="AP19" s="213"/>
      <c r="AQ19" s="214" t="s">
        <v>5</v>
      </c>
      <c r="AR19" s="215"/>
      <c r="AS19" s="215"/>
      <c r="AT19" s="215"/>
      <c r="AU19" s="216"/>
      <c r="AW19" s="8"/>
      <c r="AY19" s="7"/>
    </row>
    <row r="20" spans="1:51" ht="19.899999999999999" customHeight="1" thickBot="1">
      <c r="A20" s="220">
        <v>13</v>
      </c>
      <c r="B20" s="221"/>
      <c r="C20" s="246" t="s">
        <v>81</v>
      </c>
      <c r="D20" s="247"/>
      <c r="E20" s="248"/>
      <c r="F20" s="230"/>
      <c r="G20" s="228"/>
      <c r="H20" s="9"/>
      <c r="I20" s="9" t="s">
        <v>5</v>
      </c>
      <c r="J20" s="9" t="s">
        <v>5</v>
      </c>
      <c r="K20" s="11" t="s">
        <v>5</v>
      </c>
      <c r="L20" s="230"/>
      <c r="M20" s="228"/>
      <c r="N20" s="9"/>
      <c r="O20" s="9"/>
      <c r="P20" s="9"/>
      <c r="Q20" s="11"/>
      <c r="R20" s="230"/>
      <c r="S20" s="228"/>
      <c r="T20" s="9"/>
      <c r="U20" s="9"/>
      <c r="V20" s="227"/>
      <c r="W20" s="228"/>
      <c r="X20" s="227"/>
      <c r="Y20" s="229"/>
      <c r="Z20" s="230"/>
      <c r="AA20" s="228"/>
      <c r="AB20" s="9"/>
      <c r="AC20" s="9"/>
      <c r="AD20" s="9"/>
      <c r="AE20" s="11"/>
      <c r="AF20" s="10"/>
      <c r="AG20" s="227"/>
      <c r="AH20" s="228"/>
      <c r="AI20" s="9"/>
      <c r="AJ20" s="9"/>
      <c r="AK20" s="227" t="s">
        <v>5</v>
      </c>
      <c r="AL20" s="229"/>
      <c r="AM20" s="212">
        <f t="shared" si="0"/>
        <v>0</v>
      </c>
      <c r="AN20" s="213"/>
      <c r="AO20" s="212">
        <f t="shared" si="1"/>
        <v>11</v>
      </c>
      <c r="AP20" s="213"/>
      <c r="AQ20" s="214" t="s">
        <v>5</v>
      </c>
      <c r="AR20" s="215"/>
      <c r="AS20" s="215"/>
      <c r="AT20" s="215"/>
      <c r="AU20" s="216"/>
      <c r="AW20" s="8"/>
      <c r="AY20" s="7"/>
    </row>
    <row r="21" spans="1:51" ht="19.899999999999999" customHeight="1" thickBot="1">
      <c r="A21" s="220">
        <v>14</v>
      </c>
      <c r="B21" s="221"/>
      <c r="C21" s="246" t="s">
        <v>81</v>
      </c>
      <c r="D21" s="247"/>
      <c r="E21" s="248"/>
      <c r="F21" s="230"/>
      <c r="G21" s="228"/>
      <c r="H21" s="9"/>
      <c r="I21" s="9" t="s">
        <v>5</v>
      </c>
      <c r="J21" s="9" t="s">
        <v>5</v>
      </c>
      <c r="K21" s="11" t="s">
        <v>5</v>
      </c>
      <c r="L21" s="230"/>
      <c r="M21" s="228"/>
      <c r="N21" s="9"/>
      <c r="O21" s="9"/>
      <c r="P21" s="9"/>
      <c r="Q21" s="11"/>
      <c r="R21" s="230"/>
      <c r="S21" s="228"/>
      <c r="T21" s="9"/>
      <c r="U21" s="9"/>
      <c r="V21" s="227"/>
      <c r="W21" s="228"/>
      <c r="X21" s="227"/>
      <c r="Y21" s="229"/>
      <c r="Z21" s="230"/>
      <c r="AA21" s="228"/>
      <c r="AB21" s="9"/>
      <c r="AC21" s="9"/>
      <c r="AD21" s="9"/>
      <c r="AE21" s="11"/>
      <c r="AF21" s="10"/>
      <c r="AG21" s="227"/>
      <c r="AH21" s="228"/>
      <c r="AI21" s="9"/>
      <c r="AJ21" s="9"/>
      <c r="AK21" s="227" t="s">
        <v>5</v>
      </c>
      <c r="AL21" s="229"/>
      <c r="AM21" s="212">
        <f t="shared" si="0"/>
        <v>0</v>
      </c>
      <c r="AN21" s="213"/>
      <c r="AO21" s="212">
        <f t="shared" si="1"/>
        <v>11</v>
      </c>
      <c r="AP21" s="213"/>
      <c r="AQ21" s="214" t="s">
        <v>5</v>
      </c>
      <c r="AR21" s="215"/>
      <c r="AS21" s="215"/>
      <c r="AT21" s="215"/>
      <c r="AU21" s="216"/>
      <c r="AW21" s="8"/>
      <c r="AY21" s="7"/>
    </row>
    <row r="22" spans="1:51" ht="19.899999999999999" customHeight="1" thickBot="1">
      <c r="A22" s="220">
        <v>15</v>
      </c>
      <c r="B22" s="221"/>
      <c r="C22" s="246" t="s">
        <v>81</v>
      </c>
      <c r="D22" s="247"/>
      <c r="E22" s="248"/>
      <c r="F22" s="230"/>
      <c r="G22" s="228"/>
      <c r="H22" s="9"/>
      <c r="I22" s="9" t="s">
        <v>5</v>
      </c>
      <c r="J22" s="9" t="s">
        <v>5</v>
      </c>
      <c r="K22" s="11" t="s">
        <v>5</v>
      </c>
      <c r="L22" s="230"/>
      <c r="M22" s="228"/>
      <c r="N22" s="9"/>
      <c r="O22" s="9"/>
      <c r="P22" s="9"/>
      <c r="Q22" s="11"/>
      <c r="R22" s="230"/>
      <c r="S22" s="228"/>
      <c r="T22" s="9"/>
      <c r="U22" s="9"/>
      <c r="V22" s="227"/>
      <c r="W22" s="228"/>
      <c r="X22" s="227"/>
      <c r="Y22" s="229"/>
      <c r="Z22" s="230"/>
      <c r="AA22" s="228"/>
      <c r="AB22" s="9"/>
      <c r="AC22" s="9"/>
      <c r="AD22" s="9"/>
      <c r="AE22" s="11"/>
      <c r="AF22" s="10"/>
      <c r="AG22" s="227"/>
      <c r="AH22" s="228"/>
      <c r="AI22" s="9"/>
      <c r="AJ22" s="9"/>
      <c r="AK22" s="227" t="s">
        <v>5</v>
      </c>
      <c r="AL22" s="229"/>
      <c r="AM22" s="212">
        <f t="shared" si="0"/>
        <v>0</v>
      </c>
      <c r="AN22" s="213"/>
      <c r="AO22" s="212">
        <f t="shared" si="1"/>
        <v>11</v>
      </c>
      <c r="AP22" s="213"/>
      <c r="AQ22" s="214" t="s">
        <v>5</v>
      </c>
      <c r="AR22" s="215"/>
      <c r="AS22" s="215"/>
      <c r="AT22" s="215"/>
      <c r="AU22" s="216"/>
      <c r="AW22" s="8"/>
      <c r="AY22" s="7"/>
    </row>
    <row r="23" spans="1:51" ht="19.899999999999999" customHeight="1" thickBot="1">
      <c r="A23" s="220">
        <v>16</v>
      </c>
      <c r="B23" s="221"/>
      <c r="C23" s="246" t="s">
        <v>81</v>
      </c>
      <c r="D23" s="247"/>
      <c r="E23" s="248"/>
      <c r="F23" s="230"/>
      <c r="G23" s="228"/>
      <c r="H23" s="9"/>
      <c r="I23" s="9" t="s">
        <v>5</v>
      </c>
      <c r="J23" s="9" t="s">
        <v>5</v>
      </c>
      <c r="K23" s="11" t="s">
        <v>5</v>
      </c>
      <c r="L23" s="230"/>
      <c r="M23" s="228"/>
      <c r="N23" s="9"/>
      <c r="O23" s="9"/>
      <c r="P23" s="9"/>
      <c r="Q23" s="11"/>
      <c r="R23" s="230"/>
      <c r="S23" s="228"/>
      <c r="T23" s="9"/>
      <c r="U23" s="9"/>
      <c r="V23" s="227"/>
      <c r="W23" s="228"/>
      <c r="X23" s="227"/>
      <c r="Y23" s="229"/>
      <c r="Z23" s="230"/>
      <c r="AA23" s="228"/>
      <c r="AB23" s="9"/>
      <c r="AC23" s="9"/>
      <c r="AD23" s="9"/>
      <c r="AE23" s="11"/>
      <c r="AF23" s="10"/>
      <c r="AG23" s="227"/>
      <c r="AH23" s="228"/>
      <c r="AI23" s="9"/>
      <c r="AJ23" s="9"/>
      <c r="AK23" s="227" t="s">
        <v>5</v>
      </c>
      <c r="AL23" s="229"/>
      <c r="AM23" s="212">
        <f t="shared" si="0"/>
        <v>0</v>
      </c>
      <c r="AN23" s="213"/>
      <c r="AO23" s="212">
        <f t="shared" si="1"/>
        <v>11</v>
      </c>
      <c r="AP23" s="213"/>
      <c r="AQ23" s="214" t="s">
        <v>5</v>
      </c>
      <c r="AR23" s="215"/>
      <c r="AS23" s="215"/>
      <c r="AT23" s="215"/>
      <c r="AU23" s="216"/>
      <c r="AW23" s="8"/>
      <c r="AY23" s="7"/>
    </row>
    <row r="24" spans="1:51" ht="19.899999999999999" customHeight="1" thickBot="1">
      <c r="A24" s="220">
        <v>17</v>
      </c>
      <c r="B24" s="221"/>
      <c r="C24" s="246" t="s">
        <v>81</v>
      </c>
      <c r="D24" s="247"/>
      <c r="E24" s="248"/>
      <c r="F24" s="230"/>
      <c r="G24" s="228"/>
      <c r="H24" s="9"/>
      <c r="I24" s="9" t="s">
        <v>5</v>
      </c>
      <c r="J24" s="9" t="s">
        <v>5</v>
      </c>
      <c r="K24" s="11" t="s">
        <v>5</v>
      </c>
      <c r="L24" s="230"/>
      <c r="M24" s="228"/>
      <c r="N24" s="9"/>
      <c r="O24" s="9"/>
      <c r="P24" s="9"/>
      <c r="Q24" s="11"/>
      <c r="R24" s="230"/>
      <c r="S24" s="228"/>
      <c r="T24" s="9"/>
      <c r="U24" s="9"/>
      <c r="V24" s="227"/>
      <c r="W24" s="228"/>
      <c r="X24" s="227"/>
      <c r="Y24" s="229"/>
      <c r="Z24" s="230"/>
      <c r="AA24" s="228"/>
      <c r="AB24" s="9"/>
      <c r="AC24" s="9"/>
      <c r="AD24" s="9"/>
      <c r="AE24" s="11"/>
      <c r="AF24" s="10"/>
      <c r="AG24" s="227"/>
      <c r="AH24" s="228"/>
      <c r="AI24" s="9"/>
      <c r="AJ24" s="9"/>
      <c r="AK24" s="227" t="s">
        <v>5</v>
      </c>
      <c r="AL24" s="229"/>
      <c r="AM24" s="212">
        <f t="shared" si="0"/>
        <v>0</v>
      </c>
      <c r="AN24" s="213"/>
      <c r="AO24" s="212">
        <f t="shared" si="1"/>
        <v>11</v>
      </c>
      <c r="AP24" s="213"/>
      <c r="AQ24" s="214" t="s">
        <v>5</v>
      </c>
      <c r="AR24" s="215"/>
      <c r="AS24" s="215"/>
      <c r="AT24" s="215"/>
      <c r="AU24" s="216"/>
      <c r="AW24" s="8"/>
      <c r="AY24" s="7"/>
    </row>
    <row r="25" spans="1:51" ht="19.899999999999999" customHeight="1">
      <c r="A25" s="220">
        <v>18</v>
      </c>
      <c r="B25" s="221"/>
      <c r="C25" s="246" t="s">
        <v>81</v>
      </c>
      <c r="D25" s="247"/>
      <c r="E25" s="248"/>
      <c r="F25" s="230"/>
      <c r="G25" s="228"/>
      <c r="H25" s="9"/>
      <c r="I25" s="9" t="s">
        <v>5</v>
      </c>
      <c r="J25" s="9" t="s">
        <v>5</v>
      </c>
      <c r="K25" s="11" t="s">
        <v>5</v>
      </c>
      <c r="L25" s="230"/>
      <c r="M25" s="228"/>
      <c r="N25" s="9"/>
      <c r="O25" s="9"/>
      <c r="P25" s="9"/>
      <c r="Q25" s="11"/>
      <c r="R25" s="230"/>
      <c r="S25" s="228"/>
      <c r="T25" s="9"/>
      <c r="U25" s="9"/>
      <c r="V25" s="227"/>
      <c r="W25" s="228"/>
      <c r="X25" s="227"/>
      <c r="Y25" s="229"/>
      <c r="Z25" s="230"/>
      <c r="AA25" s="228"/>
      <c r="AB25" s="9"/>
      <c r="AC25" s="9"/>
      <c r="AD25" s="9"/>
      <c r="AE25" s="11"/>
      <c r="AF25" s="10"/>
      <c r="AG25" s="227"/>
      <c r="AH25" s="228"/>
      <c r="AI25" s="9"/>
      <c r="AJ25" s="9"/>
      <c r="AK25" s="227" t="s">
        <v>5</v>
      </c>
      <c r="AL25" s="229"/>
      <c r="AM25" s="212">
        <f t="shared" si="0"/>
        <v>0</v>
      </c>
      <c r="AN25" s="213"/>
      <c r="AO25" s="212">
        <f t="shared" si="1"/>
        <v>11</v>
      </c>
      <c r="AP25" s="213"/>
      <c r="AQ25" s="214" t="s">
        <v>5</v>
      </c>
      <c r="AR25" s="215"/>
      <c r="AS25" s="215"/>
      <c r="AT25" s="215"/>
      <c r="AU25" s="216"/>
      <c r="AW25" s="8"/>
      <c r="AY25" s="7"/>
    </row>
    <row r="26" spans="1:51" ht="19.899999999999999" customHeight="1" thickBot="1">
      <c r="A26" s="220">
        <v>19</v>
      </c>
      <c r="B26" s="221"/>
      <c r="C26" s="249" t="s">
        <v>81</v>
      </c>
      <c r="D26" s="250"/>
      <c r="E26" s="35"/>
      <c r="F26" s="58"/>
      <c r="G26" s="59"/>
      <c r="H26" s="9"/>
      <c r="I26" s="9"/>
      <c r="J26" s="9"/>
      <c r="K26" s="11"/>
      <c r="L26" s="58"/>
      <c r="M26" s="59"/>
      <c r="N26" s="9"/>
      <c r="O26" s="9"/>
      <c r="P26" s="9"/>
      <c r="Q26" s="11"/>
      <c r="R26" s="58"/>
      <c r="S26" s="59"/>
      <c r="T26" s="9"/>
      <c r="U26" s="9"/>
      <c r="V26" s="56"/>
      <c r="W26" s="59"/>
      <c r="X26" s="56"/>
      <c r="Y26" s="57"/>
      <c r="Z26" s="58"/>
      <c r="AA26" s="59"/>
      <c r="AB26" s="9"/>
      <c r="AC26" s="9"/>
      <c r="AD26" s="9"/>
      <c r="AE26" s="11"/>
      <c r="AF26" s="10"/>
      <c r="AG26" s="56"/>
      <c r="AH26" s="59"/>
      <c r="AI26" s="9"/>
      <c r="AJ26" s="9"/>
      <c r="AK26" s="56"/>
      <c r="AL26" s="57"/>
      <c r="AM26" s="212">
        <f t="shared" si="0"/>
        <v>0</v>
      </c>
      <c r="AN26" s="213"/>
      <c r="AO26" s="212">
        <f t="shared" si="1"/>
        <v>11</v>
      </c>
      <c r="AP26" s="213"/>
      <c r="AQ26" s="245"/>
      <c r="AR26" s="215"/>
      <c r="AS26" s="215"/>
      <c r="AT26" s="215"/>
      <c r="AU26" s="37"/>
      <c r="AW26" s="8"/>
      <c r="AY26" s="7"/>
    </row>
    <row r="27" spans="1:51" ht="19.899999999999999" customHeight="1" thickBot="1">
      <c r="A27" s="220">
        <v>20</v>
      </c>
      <c r="B27" s="221"/>
      <c r="C27" s="246" t="s">
        <v>81</v>
      </c>
      <c r="D27" s="247"/>
      <c r="E27" s="248"/>
      <c r="F27" s="230"/>
      <c r="G27" s="228"/>
      <c r="H27" s="9"/>
      <c r="I27" s="9" t="s">
        <v>5</v>
      </c>
      <c r="J27" s="9" t="s">
        <v>5</v>
      </c>
      <c r="K27" s="11" t="s">
        <v>5</v>
      </c>
      <c r="L27" s="230"/>
      <c r="M27" s="228"/>
      <c r="N27" s="9"/>
      <c r="O27" s="9"/>
      <c r="P27" s="9"/>
      <c r="Q27" s="11"/>
      <c r="R27" s="230"/>
      <c r="S27" s="228"/>
      <c r="T27" s="9"/>
      <c r="U27" s="9"/>
      <c r="V27" s="227"/>
      <c r="W27" s="228"/>
      <c r="X27" s="227"/>
      <c r="Y27" s="229"/>
      <c r="Z27" s="230"/>
      <c r="AA27" s="228"/>
      <c r="AB27" s="9"/>
      <c r="AC27" s="9"/>
      <c r="AD27" s="9"/>
      <c r="AE27" s="11"/>
      <c r="AF27" s="10"/>
      <c r="AG27" s="227"/>
      <c r="AH27" s="228"/>
      <c r="AI27" s="9"/>
      <c r="AJ27" s="9"/>
      <c r="AK27" s="227" t="s">
        <v>5</v>
      </c>
      <c r="AL27" s="229"/>
      <c r="AM27" s="212">
        <f t="shared" si="0"/>
        <v>0</v>
      </c>
      <c r="AN27" s="213"/>
      <c r="AO27" s="212">
        <f t="shared" si="1"/>
        <v>11</v>
      </c>
      <c r="AP27" s="213"/>
      <c r="AQ27" s="245" t="s">
        <v>5</v>
      </c>
      <c r="AR27" s="215"/>
      <c r="AS27" s="215"/>
      <c r="AT27" s="215"/>
      <c r="AU27" s="216"/>
      <c r="AW27" s="8"/>
      <c r="AY27" s="7"/>
    </row>
    <row r="28" spans="1:51" ht="19.899999999999999" customHeight="1" thickBot="1">
      <c r="A28" s="220">
        <v>21</v>
      </c>
      <c r="B28" s="221"/>
      <c r="C28" s="246" t="s">
        <v>81</v>
      </c>
      <c r="D28" s="247"/>
      <c r="E28" s="248"/>
      <c r="F28" s="226"/>
      <c r="G28" s="210"/>
      <c r="H28" s="16"/>
      <c r="I28" s="16" t="s">
        <v>5</v>
      </c>
      <c r="J28" s="16" t="s">
        <v>5</v>
      </c>
      <c r="K28" s="17" t="s">
        <v>5</v>
      </c>
      <c r="L28" s="226"/>
      <c r="M28" s="210"/>
      <c r="N28" s="16"/>
      <c r="O28" s="16"/>
      <c r="P28" s="16"/>
      <c r="Q28" s="17"/>
      <c r="R28" s="226"/>
      <c r="S28" s="210"/>
      <c r="T28" s="16"/>
      <c r="U28" s="16"/>
      <c r="V28" s="209"/>
      <c r="W28" s="210"/>
      <c r="X28" s="209"/>
      <c r="Y28" s="211"/>
      <c r="Z28" s="226"/>
      <c r="AA28" s="210"/>
      <c r="AB28" s="16"/>
      <c r="AC28" s="16"/>
      <c r="AD28" s="16"/>
      <c r="AE28" s="17"/>
      <c r="AF28" s="15"/>
      <c r="AG28" s="209"/>
      <c r="AH28" s="210"/>
      <c r="AI28" s="16"/>
      <c r="AJ28" s="16"/>
      <c r="AK28" s="209" t="s">
        <v>5</v>
      </c>
      <c r="AL28" s="211"/>
      <c r="AM28" s="212">
        <f t="shared" si="0"/>
        <v>0</v>
      </c>
      <c r="AN28" s="213"/>
      <c r="AO28" s="212">
        <f t="shared" si="1"/>
        <v>11</v>
      </c>
      <c r="AP28" s="213"/>
      <c r="AQ28" s="214" t="s">
        <v>5</v>
      </c>
      <c r="AR28" s="215"/>
      <c r="AS28" s="215"/>
      <c r="AT28" s="215"/>
      <c r="AU28" s="216"/>
      <c r="AW28" s="217" t="s">
        <v>74</v>
      </c>
      <c r="AX28" s="218"/>
      <c r="AY28" s="219"/>
    </row>
    <row r="29" spans="1:51" ht="19.899999999999999" customHeight="1" thickTop="1" thickBot="1">
      <c r="A29" s="187">
        <v>20</v>
      </c>
      <c r="B29" s="188"/>
      <c r="C29" s="205" t="s">
        <v>21</v>
      </c>
      <c r="D29" s="206"/>
      <c r="E29" s="206"/>
      <c r="F29" s="243">
        <f>((21)-(COUNTIF(F8:G28,"X")))</f>
        <v>21</v>
      </c>
      <c r="G29" s="241"/>
      <c r="H29" s="28">
        <f>((21)-(COUNTIF(H8:H28,"X")))</f>
        <v>21</v>
      </c>
      <c r="I29" s="28">
        <f>((21)-(COUNTIF(I8:I28,"X")))</f>
        <v>21</v>
      </c>
      <c r="J29" s="28">
        <f>((21)-(COUNTIF(J8:J28,"X")))</f>
        <v>21</v>
      </c>
      <c r="K29" s="28">
        <f>((21)-(COUNTIF(K8:K28,"X")))</f>
        <v>21</v>
      </c>
      <c r="L29" s="242">
        <f>((21)-(COUNTIF(L8:M28,"X")))</f>
        <v>21</v>
      </c>
      <c r="M29" s="241"/>
      <c r="N29" s="28">
        <f>((21)-(COUNTIF(N8:N28,"X")))</f>
        <v>21</v>
      </c>
      <c r="O29" s="28">
        <f>((21)-(COUNTIF(O8:O28,"X")))</f>
        <v>21</v>
      </c>
      <c r="P29" s="28">
        <f>((21)-(COUNTIF(P8:P28,"X")))</f>
        <v>21</v>
      </c>
      <c r="Q29" s="33">
        <f>((21)-(COUNTIF(Q8:Q28,"X")))</f>
        <v>21</v>
      </c>
      <c r="R29" s="244">
        <f>((21)-(COUNTIF(R8:S28,"X")))</f>
        <v>21</v>
      </c>
      <c r="S29" s="238"/>
      <c r="T29" s="26">
        <f>((21)-(COUNTIF(T8:T28,"X")))</f>
        <v>21</v>
      </c>
      <c r="U29" s="26">
        <f>((21)-(COUNTIF(U8:U28,"X")))</f>
        <v>21</v>
      </c>
      <c r="V29" s="238">
        <f>((21)-(COUNTIF(V8:W28,"X")))</f>
        <v>21</v>
      </c>
      <c r="W29" s="238"/>
      <c r="X29" s="238">
        <f>((21)-(COUNTIF(X8:Y28,"X")))</f>
        <v>21</v>
      </c>
      <c r="Y29" s="239"/>
      <c r="Z29" s="240">
        <f>((21)-(COUNTIF(Z8:AA28,"X")))</f>
        <v>21</v>
      </c>
      <c r="AA29" s="241"/>
      <c r="AB29" s="28">
        <f>((21)-(COUNTIF(AB8:AB28,"X")))</f>
        <v>21</v>
      </c>
      <c r="AC29" s="28">
        <f>((21)-(COUNTIF(AC8:AC28,"X")))</f>
        <v>21</v>
      </c>
      <c r="AD29" s="28">
        <f>((21)-(COUNTIF(AD8:AD28,"X")))</f>
        <v>21</v>
      </c>
      <c r="AE29" s="32">
        <f>((21)-(COUNTIF(AE8:AE28,"X")))</f>
        <v>21</v>
      </c>
      <c r="AF29" s="34">
        <f>((21)-(COUNTIF(AF8:AF28,"X")))</f>
        <v>21</v>
      </c>
      <c r="AG29" s="242">
        <f>((21)-(COUNTIF(AG8:AH28,"X")))</f>
        <v>21</v>
      </c>
      <c r="AH29" s="241"/>
      <c r="AI29" s="28">
        <f>((21)-(COUNTIF(AI8:AI28,"X")))</f>
        <v>21</v>
      </c>
      <c r="AJ29" s="28">
        <f>((21)-(COUNTIF(AJ8:AJ28,"X")))</f>
        <v>21</v>
      </c>
      <c r="AK29" s="238"/>
      <c r="AL29" s="239"/>
      <c r="AM29" s="170">
        <f>SUM(AM8:AN28)</f>
        <v>0</v>
      </c>
      <c r="AN29" s="171"/>
      <c r="AO29" s="172">
        <f>AY29-AM29</f>
        <v>231</v>
      </c>
      <c r="AP29" s="171"/>
      <c r="AQ29" s="173" t="s">
        <v>5</v>
      </c>
      <c r="AR29" s="174"/>
      <c r="AS29" s="174"/>
      <c r="AT29" s="174"/>
      <c r="AU29" s="175"/>
      <c r="AW29" s="12">
        <f>AW5</f>
        <v>11</v>
      </c>
      <c r="AX29" s="39">
        <v>21</v>
      </c>
      <c r="AY29" s="7">
        <f>AW29*AX29</f>
        <v>231</v>
      </c>
    </row>
    <row r="30" spans="1:51" ht="19.899999999999999" customHeight="1" thickBot="1">
      <c r="A30" s="220">
        <v>1</v>
      </c>
      <c r="B30" s="221"/>
      <c r="C30" s="222" t="s">
        <v>82</v>
      </c>
      <c r="D30" s="223"/>
      <c r="E30" s="224"/>
      <c r="F30" s="230"/>
      <c r="G30" s="228"/>
      <c r="H30" s="29"/>
      <c r="I30" s="9"/>
      <c r="J30" s="9"/>
      <c r="K30" s="30"/>
      <c r="L30" s="237"/>
      <c r="M30" s="235"/>
      <c r="N30" s="9"/>
      <c r="O30" s="29"/>
      <c r="P30" s="29"/>
      <c r="Q30" s="30"/>
      <c r="R30" s="237"/>
      <c r="S30" s="235"/>
      <c r="T30" s="29"/>
      <c r="U30" s="29"/>
      <c r="V30" s="234"/>
      <c r="W30" s="235"/>
      <c r="X30" s="234"/>
      <c r="Y30" s="236"/>
      <c r="Z30" s="237"/>
      <c r="AA30" s="235"/>
      <c r="AB30" s="29"/>
      <c r="AC30" s="29"/>
      <c r="AD30" s="29"/>
      <c r="AE30" s="30"/>
      <c r="AF30" s="31"/>
      <c r="AG30" s="234"/>
      <c r="AH30" s="235"/>
      <c r="AI30" s="29"/>
      <c r="AJ30" s="9"/>
      <c r="AK30" s="234"/>
      <c r="AL30" s="236"/>
      <c r="AM30" s="212">
        <f t="shared" ref="AM30:AM48" si="2">COUNTIF(F30:AL30,"X")</f>
        <v>0</v>
      </c>
      <c r="AN30" s="213"/>
      <c r="AO30" s="212">
        <f t="shared" ref="AO30:AO48" si="3">$AW$5-AM30</f>
        <v>11</v>
      </c>
      <c r="AP30" s="213"/>
      <c r="AQ30" s="214" t="s">
        <v>5</v>
      </c>
      <c r="AR30" s="215"/>
      <c r="AS30" s="215"/>
      <c r="AT30" s="215"/>
      <c r="AU30" s="216"/>
      <c r="AW30" s="8"/>
      <c r="AY30" s="7"/>
    </row>
    <row r="31" spans="1:51" ht="19.899999999999999" customHeight="1" thickBot="1">
      <c r="A31" s="220">
        <v>2</v>
      </c>
      <c r="B31" s="221"/>
      <c r="C31" s="222" t="s">
        <v>82</v>
      </c>
      <c r="D31" s="223"/>
      <c r="E31" s="224"/>
      <c r="F31" s="230"/>
      <c r="G31" s="228"/>
      <c r="H31" s="9"/>
      <c r="I31" s="9"/>
      <c r="J31" s="9"/>
      <c r="K31" s="11"/>
      <c r="L31" s="230"/>
      <c r="M31" s="228"/>
      <c r="N31" s="9"/>
      <c r="O31" s="9"/>
      <c r="P31" s="9"/>
      <c r="Q31" s="11"/>
      <c r="R31" s="230"/>
      <c r="S31" s="228"/>
      <c r="T31" s="9"/>
      <c r="U31" s="9"/>
      <c r="V31" s="227"/>
      <c r="W31" s="228"/>
      <c r="X31" s="227"/>
      <c r="Y31" s="229"/>
      <c r="Z31" s="230"/>
      <c r="AA31" s="228"/>
      <c r="AB31" s="9"/>
      <c r="AC31" s="9"/>
      <c r="AD31" s="9"/>
      <c r="AE31" s="11"/>
      <c r="AF31" s="10"/>
      <c r="AG31" s="227"/>
      <c r="AH31" s="228"/>
      <c r="AI31" s="9"/>
      <c r="AJ31" s="9"/>
      <c r="AK31" s="227"/>
      <c r="AL31" s="229"/>
      <c r="AM31" s="212">
        <f t="shared" si="2"/>
        <v>0</v>
      </c>
      <c r="AN31" s="213"/>
      <c r="AO31" s="212">
        <f t="shared" si="3"/>
        <v>11</v>
      </c>
      <c r="AP31" s="213"/>
      <c r="AQ31" s="214" t="s">
        <v>5</v>
      </c>
      <c r="AR31" s="215"/>
      <c r="AS31" s="215"/>
      <c r="AT31" s="215"/>
      <c r="AU31" s="216"/>
      <c r="AW31" s="8"/>
      <c r="AY31" s="7"/>
    </row>
    <row r="32" spans="1:51" ht="19.899999999999999" customHeight="1" thickBot="1">
      <c r="A32" s="220">
        <v>3</v>
      </c>
      <c r="B32" s="221"/>
      <c r="C32" s="222" t="s">
        <v>82</v>
      </c>
      <c r="D32" s="223"/>
      <c r="E32" s="224"/>
      <c r="F32" s="230"/>
      <c r="G32" s="228"/>
      <c r="H32" s="9"/>
      <c r="I32" s="9"/>
      <c r="J32" s="9"/>
      <c r="K32" s="11"/>
      <c r="L32" s="230"/>
      <c r="M32" s="228"/>
      <c r="N32" s="9"/>
      <c r="O32" s="9"/>
      <c r="P32" s="9"/>
      <c r="Q32" s="11"/>
      <c r="R32" s="230"/>
      <c r="S32" s="228"/>
      <c r="T32" s="9"/>
      <c r="U32" s="9"/>
      <c r="V32" s="227"/>
      <c r="W32" s="228"/>
      <c r="X32" s="227"/>
      <c r="Y32" s="229"/>
      <c r="Z32" s="230"/>
      <c r="AA32" s="228"/>
      <c r="AB32" s="9"/>
      <c r="AC32" s="9"/>
      <c r="AD32" s="9"/>
      <c r="AE32" s="11"/>
      <c r="AF32" s="10"/>
      <c r="AG32" s="227"/>
      <c r="AH32" s="228"/>
      <c r="AI32" s="9"/>
      <c r="AJ32" s="9"/>
      <c r="AK32" s="227"/>
      <c r="AL32" s="229"/>
      <c r="AM32" s="212">
        <f t="shared" si="2"/>
        <v>0</v>
      </c>
      <c r="AN32" s="213"/>
      <c r="AO32" s="212">
        <f t="shared" si="3"/>
        <v>11</v>
      </c>
      <c r="AP32" s="213"/>
      <c r="AQ32" s="214" t="s">
        <v>5</v>
      </c>
      <c r="AR32" s="215"/>
      <c r="AS32" s="215"/>
      <c r="AT32" s="215"/>
      <c r="AU32" s="216"/>
      <c r="AW32" s="8"/>
      <c r="AY32" s="7"/>
    </row>
    <row r="33" spans="1:51" ht="19.899999999999999" customHeight="1" thickBot="1">
      <c r="A33" s="220">
        <v>4</v>
      </c>
      <c r="B33" s="221"/>
      <c r="C33" s="222" t="s">
        <v>82</v>
      </c>
      <c r="D33" s="223"/>
      <c r="E33" s="224"/>
      <c r="F33" s="230"/>
      <c r="G33" s="228"/>
      <c r="H33" s="9"/>
      <c r="I33" s="9"/>
      <c r="J33" s="9"/>
      <c r="K33" s="11"/>
      <c r="L33" s="230"/>
      <c r="M33" s="228"/>
      <c r="N33" s="9"/>
      <c r="O33" s="9"/>
      <c r="P33" s="9"/>
      <c r="Q33" s="11"/>
      <c r="R33" s="230"/>
      <c r="S33" s="228"/>
      <c r="T33" s="9"/>
      <c r="U33" s="9"/>
      <c r="V33" s="227"/>
      <c r="W33" s="228"/>
      <c r="X33" s="227"/>
      <c r="Y33" s="229"/>
      <c r="Z33" s="230"/>
      <c r="AA33" s="228"/>
      <c r="AB33" s="9"/>
      <c r="AC33" s="9"/>
      <c r="AD33" s="9"/>
      <c r="AE33" s="11"/>
      <c r="AF33" s="10"/>
      <c r="AG33" s="227"/>
      <c r="AH33" s="228"/>
      <c r="AI33" s="9"/>
      <c r="AJ33" s="9"/>
      <c r="AK33" s="227"/>
      <c r="AL33" s="229"/>
      <c r="AM33" s="212">
        <f t="shared" si="2"/>
        <v>0</v>
      </c>
      <c r="AN33" s="213"/>
      <c r="AO33" s="212">
        <f t="shared" si="3"/>
        <v>11</v>
      </c>
      <c r="AP33" s="213"/>
      <c r="AQ33" s="214" t="s">
        <v>5</v>
      </c>
      <c r="AR33" s="215"/>
      <c r="AS33" s="215"/>
      <c r="AT33" s="215"/>
      <c r="AU33" s="216"/>
      <c r="AW33" s="8"/>
      <c r="AY33" s="7"/>
    </row>
    <row r="34" spans="1:51" ht="19.899999999999999" customHeight="1" thickBot="1">
      <c r="A34" s="220">
        <v>5</v>
      </c>
      <c r="B34" s="221"/>
      <c r="C34" s="222" t="s">
        <v>82</v>
      </c>
      <c r="D34" s="223"/>
      <c r="E34" s="224"/>
      <c r="F34" s="230"/>
      <c r="G34" s="228"/>
      <c r="H34" s="9"/>
      <c r="I34" s="9"/>
      <c r="J34" s="9"/>
      <c r="K34" s="11"/>
      <c r="L34" s="230"/>
      <c r="M34" s="228"/>
      <c r="N34" s="9"/>
      <c r="O34" s="9"/>
      <c r="P34" s="9"/>
      <c r="Q34" s="11"/>
      <c r="R34" s="230"/>
      <c r="S34" s="228"/>
      <c r="T34" s="9"/>
      <c r="U34" s="9"/>
      <c r="V34" s="227"/>
      <c r="W34" s="228"/>
      <c r="X34" s="227"/>
      <c r="Y34" s="229"/>
      <c r="Z34" s="230"/>
      <c r="AA34" s="228"/>
      <c r="AB34" s="9"/>
      <c r="AC34" s="9"/>
      <c r="AD34" s="9"/>
      <c r="AE34" s="11"/>
      <c r="AF34" s="10"/>
      <c r="AG34" s="227"/>
      <c r="AH34" s="228"/>
      <c r="AI34" s="9"/>
      <c r="AJ34" s="9"/>
      <c r="AK34" s="227"/>
      <c r="AL34" s="229"/>
      <c r="AM34" s="212">
        <f t="shared" si="2"/>
        <v>0</v>
      </c>
      <c r="AN34" s="213"/>
      <c r="AO34" s="212">
        <f t="shared" si="3"/>
        <v>11</v>
      </c>
      <c r="AP34" s="213"/>
      <c r="AQ34" s="214" t="s">
        <v>5</v>
      </c>
      <c r="AR34" s="215"/>
      <c r="AS34" s="215"/>
      <c r="AT34" s="215"/>
      <c r="AU34" s="216"/>
      <c r="AW34" s="8"/>
      <c r="AY34" s="7"/>
    </row>
    <row r="35" spans="1:51" ht="19.899999999999999" customHeight="1" thickBot="1">
      <c r="A35" s="220">
        <v>6</v>
      </c>
      <c r="B35" s="221"/>
      <c r="C35" s="222" t="s">
        <v>82</v>
      </c>
      <c r="D35" s="223"/>
      <c r="E35" s="224"/>
      <c r="F35" s="230"/>
      <c r="G35" s="228"/>
      <c r="H35" s="9"/>
      <c r="I35" s="9"/>
      <c r="J35" s="9"/>
      <c r="K35" s="11"/>
      <c r="L35" s="230"/>
      <c r="M35" s="228"/>
      <c r="N35" s="9"/>
      <c r="O35" s="9"/>
      <c r="P35" s="9"/>
      <c r="Q35" s="11"/>
      <c r="R35" s="230"/>
      <c r="S35" s="228"/>
      <c r="T35" s="9"/>
      <c r="U35" s="9"/>
      <c r="V35" s="227"/>
      <c r="W35" s="228"/>
      <c r="X35" s="227"/>
      <c r="Y35" s="229"/>
      <c r="Z35" s="230"/>
      <c r="AA35" s="228"/>
      <c r="AB35" s="9"/>
      <c r="AC35" s="9"/>
      <c r="AD35" s="9"/>
      <c r="AE35" s="11"/>
      <c r="AF35" s="10"/>
      <c r="AG35" s="227"/>
      <c r="AH35" s="228"/>
      <c r="AI35" s="9"/>
      <c r="AJ35" s="9"/>
      <c r="AK35" s="227"/>
      <c r="AL35" s="229"/>
      <c r="AM35" s="212">
        <f t="shared" si="2"/>
        <v>0</v>
      </c>
      <c r="AN35" s="213"/>
      <c r="AO35" s="212">
        <f t="shared" si="3"/>
        <v>11</v>
      </c>
      <c r="AP35" s="213"/>
      <c r="AQ35" s="214" t="s">
        <v>5</v>
      </c>
      <c r="AR35" s="215"/>
      <c r="AS35" s="215"/>
      <c r="AT35" s="215"/>
      <c r="AU35" s="216"/>
      <c r="AW35" s="8"/>
      <c r="AY35" s="7"/>
    </row>
    <row r="36" spans="1:51" ht="19.899999999999999" customHeight="1" thickBot="1">
      <c r="A36" s="220">
        <v>7</v>
      </c>
      <c r="B36" s="221"/>
      <c r="C36" s="222" t="s">
        <v>82</v>
      </c>
      <c r="D36" s="223"/>
      <c r="E36" s="224"/>
      <c r="F36" s="230"/>
      <c r="G36" s="228"/>
      <c r="H36" s="9"/>
      <c r="I36" s="9"/>
      <c r="J36" s="9"/>
      <c r="K36" s="11"/>
      <c r="L36" s="230"/>
      <c r="M36" s="228"/>
      <c r="N36" s="9"/>
      <c r="O36" s="9"/>
      <c r="P36" s="9"/>
      <c r="Q36" s="11"/>
      <c r="R36" s="230"/>
      <c r="S36" s="228"/>
      <c r="T36" s="9"/>
      <c r="U36" s="9"/>
      <c r="V36" s="227"/>
      <c r="W36" s="228"/>
      <c r="X36" s="227"/>
      <c r="Y36" s="229"/>
      <c r="Z36" s="230"/>
      <c r="AA36" s="228"/>
      <c r="AB36" s="9"/>
      <c r="AC36" s="9"/>
      <c r="AD36" s="9"/>
      <c r="AE36" s="11"/>
      <c r="AF36" s="10"/>
      <c r="AG36" s="227"/>
      <c r="AH36" s="228"/>
      <c r="AI36" s="9"/>
      <c r="AJ36" s="9"/>
      <c r="AK36" s="227"/>
      <c r="AL36" s="229"/>
      <c r="AM36" s="212">
        <f t="shared" si="2"/>
        <v>0</v>
      </c>
      <c r="AN36" s="213"/>
      <c r="AO36" s="212">
        <f t="shared" si="3"/>
        <v>11</v>
      </c>
      <c r="AP36" s="213"/>
      <c r="AQ36" s="214" t="s">
        <v>5</v>
      </c>
      <c r="AR36" s="215"/>
      <c r="AS36" s="215"/>
      <c r="AT36" s="215"/>
      <c r="AU36" s="216"/>
      <c r="AW36" s="8"/>
      <c r="AY36" s="7"/>
    </row>
    <row r="37" spans="1:51" ht="19.899999999999999" customHeight="1" thickBot="1">
      <c r="A37" s="220">
        <v>8</v>
      </c>
      <c r="B37" s="221"/>
      <c r="C37" s="222" t="s">
        <v>82</v>
      </c>
      <c r="D37" s="223"/>
      <c r="E37" s="224"/>
      <c r="F37" s="230" t="s">
        <v>5</v>
      </c>
      <c r="G37" s="228"/>
      <c r="H37" s="9" t="s">
        <v>5</v>
      </c>
      <c r="I37" s="9" t="s">
        <v>5</v>
      </c>
      <c r="J37" s="9" t="s">
        <v>5</v>
      </c>
      <c r="K37" s="11" t="s">
        <v>5</v>
      </c>
      <c r="L37" s="230"/>
      <c r="M37" s="228"/>
      <c r="N37" s="9"/>
      <c r="O37" s="9"/>
      <c r="P37" s="9"/>
      <c r="Q37" s="11"/>
      <c r="R37" s="230"/>
      <c r="S37" s="228"/>
      <c r="T37" s="9"/>
      <c r="U37" s="9"/>
      <c r="V37" s="227"/>
      <c r="W37" s="228"/>
      <c r="X37" s="227"/>
      <c r="Y37" s="229"/>
      <c r="Z37" s="230"/>
      <c r="AA37" s="228"/>
      <c r="AB37" s="9"/>
      <c r="AC37" s="9"/>
      <c r="AD37" s="9"/>
      <c r="AE37" s="11"/>
      <c r="AF37" s="10"/>
      <c r="AG37" s="227"/>
      <c r="AH37" s="228"/>
      <c r="AI37" s="9"/>
      <c r="AJ37" s="9"/>
      <c r="AK37" s="227"/>
      <c r="AL37" s="229"/>
      <c r="AM37" s="212">
        <f t="shared" si="2"/>
        <v>0</v>
      </c>
      <c r="AN37" s="213"/>
      <c r="AO37" s="212">
        <f t="shared" si="3"/>
        <v>11</v>
      </c>
      <c r="AP37" s="213"/>
      <c r="AQ37" s="214" t="s">
        <v>5</v>
      </c>
      <c r="AR37" s="215"/>
      <c r="AS37" s="215"/>
      <c r="AT37" s="215"/>
      <c r="AU37" s="216"/>
      <c r="AW37" s="8"/>
      <c r="AY37" s="7"/>
    </row>
    <row r="38" spans="1:51" ht="19.899999999999999" customHeight="1" thickBot="1">
      <c r="A38" s="220">
        <v>9</v>
      </c>
      <c r="B38" s="221"/>
      <c r="C38" s="222" t="s">
        <v>82</v>
      </c>
      <c r="D38" s="223"/>
      <c r="E38" s="224"/>
      <c r="F38" s="230" t="s">
        <v>5</v>
      </c>
      <c r="G38" s="228"/>
      <c r="H38" s="9" t="s">
        <v>5</v>
      </c>
      <c r="I38" s="9" t="s">
        <v>5</v>
      </c>
      <c r="J38" s="9" t="s">
        <v>5</v>
      </c>
      <c r="K38" s="11" t="s">
        <v>5</v>
      </c>
      <c r="L38" s="230"/>
      <c r="M38" s="228"/>
      <c r="N38" s="9"/>
      <c r="O38" s="9"/>
      <c r="P38" s="9"/>
      <c r="Q38" s="11"/>
      <c r="R38" s="230"/>
      <c r="S38" s="228"/>
      <c r="T38" s="9"/>
      <c r="U38" s="9"/>
      <c r="V38" s="227"/>
      <c r="W38" s="228"/>
      <c r="X38" s="227"/>
      <c r="Y38" s="229"/>
      <c r="Z38" s="230"/>
      <c r="AA38" s="228"/>
      <c r="AB38" s="9"/>
      <c r="AC38" s="9"/>
      <c r="AD38" s="9"/>
      <c r="AE38" s="11"/>
      <c r="AF38" s="10"/>
      <c r="AG38" s="227"/>
      <c r="AH38" s="228"/>
      <c r="AI38" s="9"/>
      <c r="AJ38" s="9"/>
      <c r="AK38" s="227"/>
      <c r="AL38" s="229"/>
      <c r="AM38" s="212">
        <f t="shared" si="2"/>
        <v>0</v>
      </c>
      <c r="AN38" s="213"/>
      <c r="AO38" s="212">
        <f t="shared" si="3"/>
        <v>11</v>
      </c>
      <c r="AP38" s="213"/>
      <c r="AQ38" s="214" t="s">
        <v>5</v>
      </c>
      <c r="AR38" s="215"/>
      <c r="AS38" s="215"/>
      <c r="AT38" s="215"/>
      <c r="AU38" s="216"/>
      <c r="AW38" s="8"/>
      <c r="AY38" s="7"/>
    </row>
    <row r="39" spans="1:51" ht="19.899999999999999" customHeight="1" thickBot="1">
      <c r="A39" s="220">
        <v>10</v>
      </c>
      <c r="B39" s="221"/>
      <c r="C39" s="222" t="s">
        <v>82</v>
      </c>
      <c r="D39" s="223"/>
      <c r="E39" s="224"/>
      <c r="F39" s="230" t="s">
        <v>5</v>
      </c>
      <c r="G39" s="228"/>
      <c r="H39" s="9" t="s">
        <v>5</v>
      </c>
      <c r="I39" s="9" t="s">
        <v>5</v>
      </c>
      <c r="J39" s="9" t="s">
        <v>5</v>
      </c>
      <c r="K39" s="11" t="s">
        <v>5</v>
      </c>
      <c r="L39" s="230"/>
      <c r="M39" s="228"/>
      <c r="N39" s="9"/>
      <c r="O39" s="9"/>
      <c r="P39" s="9"/>
      <c r="Q39" s="11"/>
      <c r="R39" s="230"/>
      <c r="S39" s="228"/>
      <c r="T39" s="9"/>
      <c r="U39" s="9"/>
      <c r="V39" s="227"/>
      <c r="W39" s="228"/>
      <c r="X39" s="227"/>
      <c r="Y39" s="229"/>
      <c r="Z39" s="230"/>
      <c r="AA39" s="228"/>
      <c r="AB39" s="9"/>
      <c r="AC39" s="9"/>
      <c r="AD39" s="9"/>
      <c r="AE39" s="11"/>
      <c r="AF39" s="10"/>
      <c r="AG39" s="227"/>
      <c r="AH39" s="228"/>
      <c r="AI39" s="9"/>
      <c r="AJ39" s="9"/>
      <c r="AK39" s="227"/>
      <c r="AL39" s="229"/>
      <c r="AM39" s="212">
        <f t="shared" si="2"/>
        <v>0</v>
      </c>
      <c r="AN39" s="213"/>
      <c r="AO39" s="212">
        <f t="shared" si="3"/>
        <v>11</v>
      </c>
      <c r="AP39" s="213"/>
      <c r="AQ39" s="214" t="s">
        <v>5</v>
      </c>
      <c r="AR39" s="215"/>
      <c r="AS39" s="215"/>
      <c r="AT39" s="215"/>
      <c r="AU39" s="216"/>
      <c r="AW39" s="8"/>
      <c r="AY39" s="7"/>
    </row>
    <row r="40" spans="1:51" ht="19.899999999999999" customHeight="1" thickBot="1">
      <c r="A40" s="220">
        <v>11</v>
      </c>
      <c r="B40" s="221"/>
      <c r="C40" s="222" t="s">
        <v>82</v>
      </c>
      <c r="D40" s="223"/>
      <c r="E40" s="224"/>
      <c r="F40" s="230" t="s">
        <v>5</v>
      </c>
      <c r="G40" s="228"/>
      <c r="H40" s="9" t="s">
        <v>5</v>
      </c>
      <c r="I40" s="9" t="s">
        <v>5</v>
      </c>
      <c r="J40" s="9" t="s">
        <v>5</v>
      </c>
      <c r="K40" s="11" t="s">
        <v>5</v>
      </c>
      <c r="L40" s="230"/>
      <c r="M40" s="228"/>
      <c r="N40" s="9"/>
      <c r="O40" s="9"/>
      <c r="P40" s="9"/>
      <c r="Q40" s="11"/>
      <c r="R40" s="230"/>
      <c r="S40" s="228"/>
      <c r="T40" s="9"/>
      <c r="U40" s="9"/>
      <c r="V40" s="227"/>
      <c r="W40" s="228"/>
      <c r="X40" s="227"/>
      <c r="Y40" s="229"/>
      <c r="Z40" s="230"/>
      <c r="AA40" s="228"/>
      <c r="AB40" s="9"/>
      <c r="AC40" s="9"/>
      <c r="AD40" s="9"/>
      <c r="AE40" s="11"/>
      <c r="AF40" s="10"/>
      <c r="AG40" s="227"/>
      <c r="AH40" s="228"/>
      <c r="AI40" s="9"/>
      <c r="AJ40" s="9"/>
      <c r="AK40" s="227"/>
      <c r="AL40" s="229"/>
      <c r="AM40" s="212">
        <f t="shared" si="2"/>
        <v>0</v>
      </c>
      <c r="AN40" s="213"/>
      <c r="AO40" s="212">
        <f t="shared" si="3"/>
        <v>11</v>
      </c>
      <c r="AP40" s="213"/>
      <c r="AQ40" s="214" t="s">
        <v>5</v>
      </c>
      <c r="AR40" s="215"/>
      <c r="AS40" s="215"/>
      <c r="AT40" s="215"/>
      <c r="AU40" s="216"/>
      <c r="AW40" s="8"/>
      <c r="AY40" s="7"/>
    </row>
    <row r="41" spans="1:51" ht="19.899999999999999" customHeight="1" thickBot="1">
      <c r="A41" s="220">
        <v>12</v>
      </c>
      <c r="B41" s="221"/>
      <c r="C41" s="222" t="s">
        <v>82</v>
      </c>
      <c r="D41" s="223"/>
      <c r="E41" s="224"/>
      <c r="F41" s="230" t="s">
        <v>5</v>
      </c>
      <c r="G41" s="228"/>
      <c r="H41" s="9" t="s">
        <v>5</v>
      </c>
      <c r="I41" s="9" t="s">
        <v>5</v>
      </c>
      <c r="J41" s="9" t="s">
        <v>5</v>
      </c>
      <c r="K41" s="11" t="s">
        <v>5</v>
      </c>
      <c r="L41" s="230"/>
      <c r="M41" s="228"/>
      <c r="N41" s="9"/>
      <c r="O41" s="9"/>
      <c r="P41" s="9"/>
      <c r="Q41" s="11"/>
      <c r="R41" s="230"/>
      <c r="S41" s="228"/>
      <c r="T41" s="9"/>
      <c r="U41" s="9"/>
      <c r="V41" s="227"/>
      <c r="W41" s="228"/>
      <c r="X41" s="227"/>
      <c r="Y41" s="229"/>
      <c r="Z41" s="230"/>
      <c r="AA41" s="228"/>
      <c r="AB41" s="9"/>
      <c r="AC41" s="9"/>
      <c r="AD41" s="9"/>
      <c r="AE41" s="11"/>
      <c r="AF41" s="10"/>
      <c r="AG41" s="227"/>
      <c r="AH41" s="228"/>
      <c r="AI41" s="9"/>
      <c r="AJ41" s="9"/>
      <c r="AK41" s="227"/>
      <c r="AL41" s="229"/>
      <c r="AM41" s="212">
        <f t="shared" si="2"/>
        <v>0</v>
      </c>
      <c r="AN41" s="213"/>
      <c r="AO41" s="212">
        <f t="shared" si="3"/>
        <v>11</v>
      </c>
      <c r="AP41" s="213"/>
      <c r="AQ41" s="214" t="s">
        <v>5</v>
      </c>
      <c r="AR41" s="215"/>
      <c r="AS41" s="215"/>
      <c r="AT41" s="215"/>
      <c r="AU41" s="216"/>
      <c r="AW41" s="8"/>
      <c r="AY41" s="7"/>
    </row>
    <row r="42" spans="1:51" ht="19.899999999999999" customHeight="1" thickBot="1">
      <c r="A42" s="220">
        <v>13</v>
      </c>
      <c r="B42" s="221"/>
      <c r="C42" s="222" t="s">
        <v>82</v>
      </c>
      <c r="D42" s="223"/>
      <c r="E42" s="224"/>
      <c r="F42" s="230" t="s">
        <v>5</v>
      </c>
      <c r="G42" s="228"/>
      <c r="H42" s="9" t="s">
        <v>5</v>
      </c>
      <c r="I42" s="9" t="s">
        <v>5</v>
      </c>
      <c r="J42" s="9" t="s">
        <v>5</v>
      </c>
      <c r="K42" s="11" t="s">
        <v>5</v>
      </c>
      <c r="L42" s="230"/>
      <c r="M42" s="228"/>
      <c r="N42" s="9"/>
      <c r="O42" s="9"/>
      <c r="P42" s="9"/>
      <c r="Q42" s="11"/>
      <c r="R42" s="230"/>
      <c r="S42" s="228"/>
      <c r="T42" s="9"/>
      <c r="U42" s="9"/>
      <c r="V42" s="227"/>
      <c r="W42" s="228"/>
      <c r="X42" s="227"/>
      <c r="Y42" s="229"/>
      <c r="Z42" s="230"/>
      <c r="AA42" s="228"/>
      <c r="AB42" s="9"/>
      <c r="AC42" s="9"/>
      <c r="AD42" s="9"/>
      <c r="AE42" s="11"/>
      <c r="AF42" s="10"/>
      <c r="AG42" s="227"/>
      <c r="AH42" s="228"/>
      <c r="AI42" s="9"/>
      <c r="AJ42" s="9"/>
      <c r="AK42" s="227"/>
      <c r="AL42" s="229"/>
      <c r="AM42" s="212">
        <f t="shared" si="2"/>
        <v>0</v>
      </c>
      <c r="AN42" s="213"/>
      <c r="AO42" s="212">
        <f t="shared" si="3"/>
        <v>11</v>
      </c>
      <c r="AP42" s="213"/>
      <c r="AQ42" s="214" t="s">
        <v>5</v>
      </c>
      <c r="AR42" s="215"/>
      <c r="AS42" s="215"/>
      <c r="AT42" s="215"/>
      <c r="AU42" s="216"/>
      <c r="AW42" s="8"/>
      <c r="AY42" s="7"/>
    </row>
    <row r="43" spans="1:51" ht="19.899999999999999" customHeight="1" thickBot="1">
      <c r="A43" s="220">
        <v>14</v>
      </c>
      <c r="B43" s="221"/>
      <c r="C43" s="222" t="s">
        <v>82</v>
      </c>
      <c r="D43" s="223"/>
      <c r="E43" s="224"/>
      <c r="F43" s="230" t="s">
        <v>5</v>
      </c>
      <c r="G43" s="228"/>
      <c r="H43" s="9" t="s">
        <v>5</v>
      </c>
      <c r="I43" s="9" t="s">
        <v>5</v>
      </c>
      <c r="J43" s="9" t="s">
        <v>5</v>
      </c>
      <c r="K43" s="11" t="s">
        <v>5</v>
      </c>
      <c r="L43" s="230"/>
      <c r="M43" s="228"/>
      <c r="N43" s="9"/>
      <c r="O43" s="9"/>
      <c r="P43" s="9"/>
      <c r="Q43" s="11"/>
      <c r="R43" s="230"/>
      <c r="S43" s="228"/>
      <c r="T43" s="9"/>
      <c r="U43" s="9"/>
      <c r="V43" s="227"/>
      <c r="W43" s="228"/>
      <c r="X43" s="227"/>
      <c r="Y43" s="229"/>
      <c r="Z43" s="230"/>
      <c r="AA43" s="228"/>
      <c r="AB43" s="9"/>
      <c r="AC43" s="9"/>
      <c r="AD43" s="9"/>
      <c r="AE43" s="11"/>
      <c r="AF43" s="10"/>
      <c r="AG43" s="227"/>
      <c r="AH43" s="228"/>
      <c r="AI43" s="9"/>
      <c r="AJ43" s="9"/>
      <c r="AK43" s="227"/>
      <c r="AL43" s="229"/>
      <c r="AM43" s="212">
        <f t="shared" si="2"/>
        <v>0</v>
      </c>
      <c r="AN43" s="213"/>
      <c r="AO43" s="212">
        <f t="shared" si="3"/>
        <v>11</v>
      </c>
      <c r="AP43" s="213"/>
      <c r="AQ43" s="214" t="s">
        <v>5</v>
      </c>
      <c r="AR43" s="215"/>
      <c r="AS43" s="215"/>
      <c r="AT43" s="215"/>
      <c r="AU43" s="216"/>
      <c r="AW43" s="8"/>
      <c r="AY43" s="7"/>
    </row>
    <row r="44" spans="1:51" ht="19.899999999999999" customHeight="1" thickBot="1">
      <c r="A44" s="220">
        <v>15</v>
      </c>
      <c r="B44" s="221"/>
      <c r="C44" s="222" t="s">
        <v>82</v>
      </c>
      <c r="D44" s="223"/>
      <c r="E44" s="224"/>
      <c r="F44" s="230" t="s">
        <v>5</v>
      </c>
      <c r="G44" s="228"/>
      <c r="H44" s="9" t="s">
        <v>5</v>
      </c>
      <c r="I44" s="9" t="s">
        <v>5</v>
      </c>
      <c r="J44" s="9" t="s">
        <v>5</v>
      </c>
      <c r="K44" s="11" t="s">
        <v>5</v>
      </c>
      <c r="L44" s="230"/>
      <c r="M44" s="228"/>
      <c r="N44" s="9"/>
      <c r="O44" s="9"/>
      <c r="P44" s="9"/>
      <c r="Q44" s="11"/>
      <c r="R44" s="230"/>
      <c r="S44" s="228"/>
      <c r="T44" s="9"/>
      <c r="U44" s="9"/>
      <c r="V44" s="227"/>
      <c r="W44" s="228"/>
      <c r="X44" s="227"/>
      <c r="Y44" s="229"/>
      <c r="Z44" s="230"/>
      <c r="AA44" s="228"/>
      <c r="AB44" s="9"/>
      <c r="AC44" s="9"/>
      <c r="AD44" s="9"/>
      <c r="AE44" s="11"/>
      <c r="AF44" s="10"/>
      <c r="AG44" s="227"/>
      <c r="AH44" s="228"/>
      <c r="AI44" s="9"/>
      <c r="AJ44" s="9"/>
      <c r="AK44" s="227"/>
      <c r="AL44" s="229"/>
      <c r="AM44" s="212">
        <f t="shared" si="2"/>
        <v>0</v>
      </c>
      <c r="AN44" s="213"/>
      <c r="AO44" s="212">
        <f t="shared" si="3"/>
        <v>11</v>
      </c>
      <c r="AP44" s="213"/>
      <c r="AQ44" s="214" t="s">
        <v>5</v>
      </c>
      <c r="AR44" s="215"/>
      <c r="AS44" s="215"/>
      <c r="AT44" s="215"/>
      <c r="AU44" s="216"/>
      <c r="AW44" s="8"/>
      <c r="AY44" s="7"/>
    </row>
    <row r="45" spans="1:51" ht="19.899999999999999" customHeight="1" thickBot="1">
      <c r="A45" s="220">
        <v>16</v>
      </c>
      <c r="B45" s="221"/>
      <c r="C45" s="222" t="s">
        <v>82</v>
      </c>
      <c r="D45" s="223"/>
      <c r="E45" s="224"/>
      <c r="F45" s="230" t="s">
        <v>5</v>
      </c>
      <c r="G45" s="228"/>
      <c r="H45" s="9" t="s">
        <v>5</v>
      </c>
      <c r="I45" s="9" t="s">
        <v>5</v>
      </c>
      <c r="J45" s="9" t="s">
        <v>5</v>
      </c>
      <c r="K45" s="11" t="s">
        <v>5</v>
      </c>
      <c r="L45" s="230"/>
      <c r="M45" s="228"/>
      <c r="N45" s="9"/>
      <c r="O45" s="9"/>
      <c r="P45" s="9"/>
      <c r="Q45" s="11"/>
      <c r="R45" s="230"/>
      <c r="S45" s="228"/>
      <c r="T45" s="9"/>
      <c r="U45" s="9"/>
      <c r="V45" s="227"/>
      <c r="W45" s="228"/>
      <c r="X45" s="227"/>
      <c r="Y45" s="229"/>
      <c r="Z45" s="230"/>
      <c r="AA45" s="228"/>
      <c r="AB45" s="9"/>
      <c r="AC45" s="9"/>
      <c r="AD45" s="9"/>
      <c r="AE45" s="11"/>
      <c r="AF45" s="10"/>
      <c r="AG45" s="227"/>
      <c r="AH45" s="228"/>
      <c r="AI45" s="9"/>
      <c r="AJ45" s="9"/>
      <c r="AK45" s="227"/>
      <c r="AL45" s="229"/>
      <c r="AM45" s="212">
        <f t="shared" si="2"/>
        <v>0</v>
      </c>
      <c r="AN45" s="213"/>
      <c r="AO45" s="212">
        <f t="shared" si="3"/>
        <v>11</v>
      </c>
      <c r="AP45" s="213"/>
      <c r="AQ45" s="214" t="s">
        <v>5</v>
      </c>
      <c r="AR45" s="215"/>
      <c r="AS45" s="215"/>
      <c r="AT45" s="215"/>
      <c r="AU45" s="216"/>
      <c r="AW45" s="8"/>
      <c r="AY45" s="7"/>
    </row>
    <row r="46" spans="1:51" ht="19.899999999999999" customHeight="1" thickBot="1">
      <c r="A46" s="220">
        <v>17</v>
      </c>
      <c r="B46" s="221"/>
      <c r="C46" s="222" t="s">
        <v>82</v>
      </c>
      <c r="D46" s="223"/>
      <c r="E46" s="224"/>
      <c r="F46" s="230" t="s">
        <v>5</v>
      </c>
      <c r="G46" s="228"/>
      <c r="H46" s="9" t="s">
        <v>5</v>
      </c>
      <c r="I46" s="9" t="s">
        <v>5</v>
      </c>
      <c r="J46" s="9" t="s">
        <v>5</v>
      </c>
      <c r="K46" s="11" t="s">
        <v>5</v>
      </c>
      <c r="L46" s="230"/>
      <c r="M46" s="228"/>
      <c r="N46" s="9"/>
      <c r="O46" s="9"/>
      <c r="P46" s="9"/>
      <c r="Q46" s="11"/>
      <c r="R46" s="230"/>
      <c r="S46" s="228"/>
      <c r="T46" s="9"/>
      <c r="U46" s="9"/>
      <c r="V46" s="227"/>
      <c r="W46" s="228"/>
      <c r="X46" s="227"/>
      <c r="Y46" s="229"/>
      <c r="Z46" s="230"/>
      <c r="AA46" s="228"/>
      <c r="AB46" s="9"/>
      <c r="AC46" s="9"/>
      <c r="AD46" s="9"/>
      <c r="AE46" s="11"/>
      <c r="AF46" s="10"/>
      <c r="AG46" s="227"/>
      <c r="AH46" s="228"/>
      <c r="AI46" s="9"/>
      <c r="AJ46" s="9"/>
      <c r="AK46" s="227"/>
      <c r="AL46" s="229"/>
      <c r="AM46" s="212">
        <f t="shared" si="2"/>
        <v>0</v>
      </c>
      <c r="AN46" s="213"/>
      <c r="AO46" s="212">
        <f t="shared" si="3"/>
        <v>11</v>
      </c>
      <c r="AP46" s="213"/>
      <c r="AQ46" s="214" t="s">
        <v>5</v>
      </c>
      <c r="AR46" s="215"/>
      <c r="AS46" s="215"/>
      <c r="AT46" s="215"/>
      <c r="AU46" s="216"/>
      <c r="AW46" s="8"/>
      <c r="AY46" s="7"/>
    </row>
    <row r="47" spans="1:51" ht="19.899999999999999" customHeight="1" thickBot="1">
      <c r="A47" s="220">
        <v>18</v>
      </c>
      <c r="B47" s="221"/>
      <c r="C47" s="222" t="s">
        <v>82</v>
      </c>
      <c r="D47" s="223"/>
      <c r="E47" s="224"/>
      <c r="F47" s="230" t="s">
        <v>5</v>
      </c>
      <c r="G47" s="228"/>
      <c r="H47" s="9" t="s">
        <v>5</v>
      </c>
      <c r="I47" s="9" t="s">
        <v>5</v>
      </c>
      <c r="J47" s="9" t="s">
        <v>5</v>
      </c>
      <c r="K47" s="11" t="s">
        <v>5</v>
      </c>
      <c r="L47" s="230"/>
      <c r="M47" s="228"/>
      <c r="N47" s="9"/>
      <c r="O47" s="9"/>
      <c r="P47" s="9"/>
      <c r="Q47" s="11"/>
      <c r="R47" s="230"/>
      <c r="S47" s="228"/>
      <c r="T47" s="9"/>
      <c r="U47" s="9"/>
      <c r="V47" s="227"/>
      <c r="W47" s="228"/>
      <c r="X47" s="227"/>
      <c r="Y47" s="229"/>
      <c r="Z47" s="230"/>
      <c r="AA47" s="228"/>
      <c r="AB47" s="9"/>
      <c r="AC47" s="9"/>
      <c r="AD47" s="9"/>
      <c r="AE47" s="11"/>
      <c r="AF47" s="10"/>
      <c r="AG47" s="227"/>
      <c r="AH47" s="228"/>
      <c r="AI47" s="9"/>
      <c r="AJ47" s="9"/>
      <c r="AK47" s="227"/>
      <c r="AL47" s="229"/>
      <c r="AM47" s="212">
        <f t="shared" si="2"/>
        <v>0</v>
      </c>
      <c r="AN47" s="213"/>
      <c r="AO47" s="212">
        <f t="shared" si="3"/>
        <v>11</v>
      </c>
      <c r="AP47" s="213"/>
      <c r="AQ47" s="214" t="s">
        <v>5</v>
      </c>
      <c r="AR47" s="215"/>
      <c r="AS47" s="215"/>
      <c r="AT47" s="215"/>
      <c r="AU47" s="216"/>
      <c r="AW47" s="8"/>
      <c r="AY47" s="7"/>
    </row>
    <row r="48" spans="1:51" ht="19.899999999999999" customHeight="1" thickBot="1">
      <c r="A48" s="220">
        <v>19</v>
      </c>
      <c r="B48" s="221"/>
      <c r="C48" s="222" t="s">
        <v>82</v>
      </c>
      <c r="D48" s="223"/>
      <c r="E48" s="224"/>
      <c r="F48" s="225" t="s">
        <v>5</v>
      </c>
      <c r="G48" s="198"/>
      <c r="H48" s="16" t="s">
        <v>5</v>
      </c>
      <c r="I48" s="16" t="s">
        <v>5</v>
      </c>
      <c r="J48" s="16" t="s">
        <v>5</v>
      </c>
      <c r="K48" s="17" t="s">
        <v>5</v>
      </c>
      <c r="L48" s="226"/>
      <c r="M48" s="210"/>
      <c r="N48" s="16"/>
      <c r="O48" s="16"/>
      <c r="P48" s="16"/>
      <c r="Q48" s="17"/>
      <c r="R48" s="226"/>
      <c r="S48" s="210"/>
      <c r="T48" s="16"/>
      <c r="U48" s="16"/>
      <c r="V48" s="209"/>
      <c r="W48" s="210"/>
      <c r="X48" s="209"/>
      <c r="Y48" s="211"/>
      <c r="Z48" s="226"/>
      <c r="AA48" s="210"/>
      <c r="AB48" s="16"/>
      <c r="AC48" s="16"/>
      <c r="AD48" s="16"/>
      <c r="AE48" s="17"/>
      <c r="AF48" s="15"/>
      <c r="AG48" s="209"/>
      <c r="AH48" s="210"/>
      <c r="AI48" s="16"/>
      <c r="AJ48" s="16"/>
      <c r="AK48" s="209"/>
      <c r="AL48" s="211"/>
      <c r="AM48" s="212">
        <f t="shared" si="2"/>
        <v>0</v>
      </c>
      <c r="AN48" s="213"/>
      <c r="AO48" s="212">
        <f t="shared" si="3"/>
        <v>11</v>
      </c>
      <c r="AP48" s="213"/>
      <c r="AQ48" s="214" t="s">
        <v>5</v>
      </c>
      <c r="AR48" s="215"/>
      <c r="AS48" s="215"/>
      <c r="AT48" s="215"/>
      <c r="AU48" s="216"/>
      <c r="AW48" s="217" t="s">
        <v>75</v>
      </c>
      <c r="AX48" s="218"/>
      <c r="AY48" s="219"/>
    </row>
    <row r="49" spans="1:51" ht="19.899999999999999" customHeight="1" thickTop="1" thickBot="1">
      <c r="A49" s="187">
        <v>20</v>
      </c>
      <c r="B49" s="188"/>
      <c r="C49" s="205" t="s">
        <v>22</v>
      </c>
      <c r="D49" s="206"/>
      <c r="E49" s="206"/>
      <c r="F49" s="207">
        <f>(19)-(COUNTIF(F30:G48,"X"))</f>
        <v>19</v>
      </c>
      <c r="G49" s="208"/>
      <c r="H49" s="28">
        <f>(19)-(COUNTIF(H30:H48,"X"))</f>
        <v>19</v>
      </c>
      <c r="I49" s="28">
        <f>(19)-(COUNTIF(I30:I48,"X"))</f>
        <v>19</v>
      </c>
      <c r="J49" s="28">
        <f>(19)-(COUNTIF(J30:J48,"X"))</f>
        <v>19</v>
      </c>
      <c r="K49" s="28">
        <f>(19)-(COUNTIF(K30:K48,"X"))</f>
        <v>19</v>
      </c>
      <c r="L49" s="200">
        <f>((19)-(COUNTIF(L30:M48,"X")))</f>
        <v>19</v>
      </c>
      <c r="M49" s="208"/>
      <c r="N49" s="28">
        <f>(19)-(COUNTIF(N30:N48,"X"))</f>
        <v>19</v>
      </c>
      <c r="O49" s="28">
        <f>(19)-(COUNTIF(O30:O48,"X"))</f>
        <v>19</v>
      </c>
      <c r="P49" s="28">
        <f>(19)-(COUNTIF(P30:P48,"X"))</f>
        <v>19</v>
      </c>
      <c r="Q49" s="28">
        <f>(19)-(COUNTIF(Q30:Q48,"X"))</f>
        <v>19</v>
      </c>
      <c r="R49" s="200">
        <f>((19)-(COUNTIF(R30:S48,"X")))</f>
        <v>19</v>
      </c>
      <c r="S49" s="208"/>
      <c r="T49" s="28">
        <f>(19)-(COUNTIF(T30:T48,"X"))</f>
        <v>19</v>
      </c>
      <c r="U49" s="28">
        <f>(19)-(COUNTIF(U30:U48,"X"))</f>
        <v>19</v>
      </c>
      <c r="V49" s="200">
        <f>((19)-(COUNTIF(V30:W48,"X")))</f>
        <v>19</v>
      </c>
      <c r="W49" s="208"/>
      <c r="X49" s="200">
        <f>((19)-(COUNTIF(X30:Y48,"X")))</f>
        <v>19</v>
      </c>
      <c r="Y49" s="169"/>
      <c r="Z49" s="201">
        <f>((19)-(COUNTIF(Z30:AA48,"X")))</f>
        <v>19</v>
      </c>
      <c r="AA49" s="193"/>
      <c r="AB49" s="18">
        <f>(19)-(COUNTIF(AB30:AB48,"X"))</f>
        <v>19</v>
      </c>
      <c r="AC49" s="18">
        <f>(19)-(COUNTIF(AC30:AC48,"X"))</f>
        <v>19</v>
      </c>
      <c r="AD49" s="18">
        <f>(19)-(COUNTIF(AD30:AD48,"X"))</f>
        <v>19</v>
      </c>
      <c r="AE49" s="21">
        <f>(19)-(COUNTIF(AE30:AE48,"X"))</f>
        <v>19</v>
      </c>
      <c r="AF49" s="22">
        <f>(19)-(COUNTIF(AF30:AF48,"X"))</f>
        <v>19</v>
      </c>
      <c r="AG49" s="202">
        <f>((19)-(COUNTIF(AG30:AH48,"X")))</f>
        <v>19</v>
      </c>
      <c r="AH49" s="202"/>
      <c r="AI49" s="23">
        <f>((19)-(COUNTIF(AI30:AI48,"X")))</f>
        <v>19</v>
      </c>
      <c r="AJ49" s="23">
        <f>((19)-(COUNTIF(AJ30:AJ48,"X")))</f>
        <v>19</v>
      </c>
      <c r="AK49" s="203"/>
      <c r="AL49" s="204"/>
      <c r="AM49" s="170">
        <f>SUM(AM30:AN48)</f>
        <v>0</v>
      </c>
      <c r="AN49" s="171"/>
      <c r="AO49" s="172">
        <f>AY49-AM49</f>
        <v>209</v>
      </c>
      <c r="AP49" s="171"/>
      <c r="AQ49" s="173" t="s">
        <v>5</v>
      </c>
      <c r="AR49" s="174"/>
      <c r="AS49" s="174"/>
      <c r="AT49" s="174"/>
      <c r="AU49" s="175"/>
      <c r="AW49" s="12">
        <f>AW29</f>
        <v>11</v>
      </c>
      <c r="AX49" s="40">
        <v>19</v>
      </c>
      <c r="AY49" s="7">
        <f>AW49*AX49</f>
        <v>209</v>
      </c>
    </row>
    <row r="50" spans="1:51" ht="19.899999999999999" customHeight="1" thickBot="1">
      <c r="A50" s="187">
        <v>40</v>
      </c>
      <c r="B50" s="188"/>
      <c r="C50" s="189" t="s">
        <v>23</v>
      </c>
      <c r="D50" s="190"/>
      <c r="E50" s="191"/>
      <c r="F50" s="192">
        <f>F49+F29</f>
        <v>40</v>
      </c>
      <c r="G50" s="193"/>
      <c r="H50" s="27">
        <f>H49+H29</f>
        <v>40</v>
      </c>
      <c r="I50" s="27">
        <f>I49+I29</f>
        <v>40</v>
      </c>
      <c r="J50" s="27">
        <f>J49+J29</f>
        <v>40</v>
      </c>
      <c r="K50" s="27">
        <f>K29+K49</f>
        <v>40</v>
      </c>
      <c r="L50" s="194">
        <f>L29+L49</f>
        <v>40</v>
      </c>
      <c r="M50" s="195"/>
      <c r="N50" s="27">
        <f>N29+N49</f>
        <v>40</v>
      </c>
      <c r="O50" s="27">
        <f>O29+O49</f>
        <v>40</v>
      </c>
      <c r="P50" s="27">
        <f>P29+P49</f>
        <v>40</v>
      </c>
      <c r="Q50" s="27">
        <f>Q29+Q49</f>
        <v>40</v>
      </c>
      <c r="R50" s="194">
        <f>R29+R49</f>
        <v>40</v>
      </c>
      <c r="S50" s="195"/>
      <c r="T50" s="27">
        <f>T29+T49</f>
        <v>40</v>
      </c>
      <c r="U50" s="27">
        <f>U29+U49</f>
        <v>40</v>
      </c>
      <c r="V50" s="194">
        <f>V29+V49</f>
        <v>40</v>
      </c>
      <c r="W50" s="195"/>
      <c r="X50" s="194">
        <f>X29+X49</f>
        <v>40</v>
      </c>
      <c r="Y50" s="196"/>
      <c r="Z50" s="197">
        <f>Z29+Z49</f>
        <v>40</v>
      </c>
      <c r="AA50" s="198"/>
      <c r="AB50" s="19">
        <f t="shared" ref="AB50:AG50" si="4">AB29+AB49</f>
        <v>40</v>
      </c>
      <c r="AC50" s="19">
        <f t="shared" si="4"/>
        <v>40</v>
      </c>
      <c r="AD50" s="20">
        <f t="shared" si="4"/>
        <v>40</v>
      </c>
      <c r="AE50" s="24">
        <f t="shared" si="4"/>
        <v>40</v>
      </c>
      <c r="AF50" s="25">
        <f t="shared" si="4"/>
        <v>40</v>
      </c>
      <c r="AG50" s="199">
        <f t="shared" si="4"/>
        <v>40</v>
      </c>
      <c r="AH50" s="199"/>
      <c r="AI50" s="26">
        <f>AI49+AI29</f>
        <v>40</v>
      </c>
      <c r="AJ50" s="26">
        <f>AJ49+AJ29</f>
        <v>40</v>
      </c>
      <c r="AK50" s="168"/>
      <c r="AL50" s="169"/>
      <c r="AM50" s="170">
        <f>AM29+AM49</f>
        <v>0</v>
      </c>
      <c r="AN50" s="171"/>
      <c r="AO50" s="172">
        <f>AO29+AO49</f>
        <v>440</v>
      </c>
      <c r="AP50" s="171"/>
      <c r="AQ50" s="173" t="s">
        <v>5</v>
      </c>
      <c r="AR50" s="174"/>
      <c r="AS50" s="174"/>
      <c r="AT50" s="174"/>
      <c r="AU50" s="175"/>
      <c r="AW50" s="6"/>
      <c r="AX50" s="5"/>
      <c r="AY50" s="4"/>
    </row>
    <row r="51" spans="1:51" ht="10.15" customHeight="1">
      <c r="A51" s="176" t="s">
        <v>24</v>
      </c>
      <c r="B51" s="72"/>
      <c r="C51" s="72"/>
      <c r="D51" s="72"/>
      <c r="E51" s="72"/>
      <c r="F51" s="72"/>
      <c r="G51" s="72"/>
      <c r="H51" s="72"/>
      <c r="I51" s="72"/>
      <c r="J51" s="72"/>
      <c r="K51" s="72"/>
      <c r="L51" s="72"/>
      <c r="M51" s="72"/>
      <c r="N51" s="72"/>
      <c r="O51" s="72"/>
      <c r="P51" s="72"/>
      <c r="Q51" s="72"/>
      <c r="R51" s="72"/>
      <c r="S51" s="72"/>
      <c r="T51" s="72"/>
      <c r="U51" s="72"/>
      <c r="V51" s="72"/>
      <c r="W51" s="72"/>
      <c r="X51" s="72"/>
      <c r="Y51" s="1"/>
      <c r="Z51" s="82" t="s">
        <v>25</v>
      </c>
      <c r="AA51" s="83"/>
      <c r="AB51" s="83"/>
      <c r="AC51" s="83"/>
      <c r="AD51" s="83"/>
      <c r="AE51" s="83"/>
      <c r="AF51" s="83"/>
      <c r="AG51" s="83"/>
      <c r="AH51" s="83"/>
      <c r="AI51" s="83"/>
      <c r="AJ51" s="83"/>
      <c r="AK51" s="84"/>
      <c r="AL51" s="1"/>
      <c r="AM51" s="177" t="s">
        <v>26</v>
      </c>
      <c r="AN51" s="178"/>
      <c r="AO51" s="179"/>
      <c r="AP51" s="177" t="s">
        <v>27</v>
      </c>
      <c r="AQ51" s="179"/>
      <c r="AR51" s="183" t="s">
        <v>28</v>
      </c>
      <c r="AS51" s="184"/>
      <c r="AT51" s="184"/>
      <c r="AU51" s="185"/>
    </row>
    <row r="52" spans="1:51" ht="10.15" customHeight="1" thickBot="1">
      <c r="A52" s="186" t="s">
        <v>29</v>
      </c>
      <c r="B52" s="72"/>
      <c r="C52" s="72"/>
      <c r="D52" s="72"/>
      <c r="E52" s="72"/>
      <c r="F52" s="72"/>
      <c r="G52" s="72"/>
      <c r="H52" s="72"/>
      <c r="I52" s="72"/>
      <c r="J52" s="72"/>
      <c r="K52" s="72"/>
      <c r="L52" s="72"/>
      <c r="M52" s="72"/>
      <c r="N52" s="72"/>
      <c r="O52" s="72"/>
      <c r="P52" s="72"/>
      <c r="Q52" s="72"/>
      <c r="R52" s="72"/>
      <c r="S52" s="72"/>
      <c r="T52" s="72"/>
      <c r="U52" s="72"/>
      <c r="V52" s="72"/>
      <c r="W52" s="72"/>
      <c r="X52" s="72"/>
      <c r="Y52" s="1"/>
      <c r="Z52" s="150" t="s">
        <v>30</v>
      </c>
      <c r="AA52" s="151"/>
      <c r="AB52" s="151"/>
      <c r="AC52" s="151"/>
      <c r="AD52" s="151"/>
      <c r="AE52" s="151"/>
      <c r="AF52" s="151"/>
      <c r="AG52" s="151"/>
      <c r="AH52" s="151"/>
      <c r="AI52" s="151"/>
      <c r="AJ52" s="151"/>
      <c r="AK52" s="152"/>
      <c r="AL52" s="1"/>
      <c r="AM52" s="180"/>
      <c r="AN52" s="181"/>
      <c r="AO52" s="182"/>
      <c r="AP52" s="180"/>
      <c r="AQ52" s="182"/>
      <c r="AR52" s="3" t="s">
        <v>14</v>
      </c>
      <c r="AS52" s="3" t="s">
        <v>18</v>
      </c>
      <c r="AT52" s="153" t="s">
        <v>31</v>
      </c>
      <c r="AU52" s="154"/>
    </row>
    <row r="53" spans="1:51" ht="10.15" customHeight="1">
      <c r="A53" s="72"/>
      <c r="B53" s="72"/>
      <c r="C53" s="72"/>
      <c r="D53" s="72"/>
      <c r="E53" s="72"/>
      <c r="F53" s="72"/>
      <c r="G53" s="72"/>
      <c r="H53" s="72"/>
      <c r="I53" s="72"/>
      <c r="J53" s="72"/>
      <c r="K53" s="72"/>
      <c r="L53" s="72"/>
      <c r="M53" s="72"/>
      <c r="N53" s="72"/>
      <c r="O53" s="72"/>
      <c r="P53" s="72"/>
      <c r="Q53" s="72"/>
      <c r="R53" s="72"/>
      <c r="S53" s="72"/>
      <c r="T53" s="72"/>
      <c r="U53" s="72"/>
      <c r="V53" s="72"/>
      <c r="W53" s="72"/>
      <c r="X53" s="72"/>
      <c r="Y53" s="1"/>
      <c r="Z53" s="150"/>
      <c r="AA53" s="151"/>
      <c r="AB53" s="151"/>
      <c r="AC53" s="151"/>
      <c r="AD53" s="151"/>
      <c r="AE53" s="151"/>
      <c r="AF53" s="151"/>
      <c r="AG53" s="151"/>
      <c r="AH53" s="151"/>
      <c r="AI53" s="151"/>
      <c r="AJ53" s="151"/>
      <c r="AK53" s="152"/>
      <c r="AL53" s="1"/>
      <c r="AM53" s="155" t="s">
        <v>32</v>
      </c>
      <c r="AN53" s="156"/>
      <c r="AO53" s="156"/>
      <c r="AP53" s="156"/>
      <c r="AQ53" s="157"/>
      <c r="AR53" s="161">
        <v>21</v>
      </c>
      <c r="AS53" s="140">
        <v>19</v>
      </c>
      <c r="AT53" s="60">
        <f>AR53+AS53</f>
        <v>40</v>
      </c>
      <c r="AU53" s="61"/>
    </row>
    <row r="54" spans="1:51" ht="4.9000000000000004" customHeight="1">
      <c r="A54" s="72"/>
      <c r="B54" s="72"/>
      <c r="C54" s="72"/>
      <c r="D54" s="72"/>
      <c r="E54" s="72"/>
      <c r="F54" s="72"/>
      <c r="G54" s="72"/>
      <c r="H54" s="72"/>
      <c r="I54" s="72"/>
      <c r="J54" s="72"/>
      <c r="K54" s="72"/>
      <c r="L54" s="72"/>
      <c r="M54" s="72"/>
      <c r="N54" s="72"/>
      <c r="O54" s="72"/>
      <c r="P54" s="72"/>
      <c r="Q54" s="72"/>
      <c r="R54" s="72"/>
      <c r="S54" s="72"/>
      <c r="T54" s="72"/>
      <c r="U54" s="72"/>
      <c r="V54" s="72"/>
      <c r="W54" s="72"/>
      <c r="X54" s="72"/>
      <c r="Y54" s="1"/>
      <c r="Z54" s="82" t="s">
        <v>33</v>
      </c>
      <c r="AA54" s="83"/>
      <c r="AB54" s="83"/>
      <c r="AC54" s="83"/>
      <c r="AD54" s="83"/>
      <c r="AE54" s="83"/>
      <c r="AF54" s="83"/>
      <c r="AG54" s="83"/>
      <c r="AH54" s="83"/>
      <c r="AI54" s="83"/>
      <c r="AJ54" s="83"/>
      <c r="AK54" s="84"/>
      <c r="AL54" s="1"/>
      <c r="AM54" s="158"/>
      <c r="AN54" s="159"/>
      <c r="AO54" s="159"/>
      <c r="AP54" s="159"/>
      <c r="AQ54" s="160"/>
      <c r="AR54" s="162"/>
      <c r="AS54" s="142"/>
      <c r="AT54" s="103"/>
      <c r="AU54" s="104"/>
    </row>
    <row r="55" spans="1:51" ht="4.9000000000000004" customHeight="1">
      <c r="A55" s="72"/>
      <c r="B55" s="72"/>
      <c r="C55" s="72"/>
      <c r="D55" s="72"/>
      <c r="E55" s="72"/>
      <c r="F55" s="72"/>
      <c r="G55" s="72"/>
      <c r="H55" s="72"/>
      <c r="I55" s="72"/>
      <c r="J55" s="72"/>
      <c r="K55" s="72"/>
      <c r="L55" s="72"/>
      <c r="M55" s="72"/>
      <c r="N55" s="72"/>
      <c r="O55" s="72"/>
      <c r="P55" s="72"/>
      <c r="Q55" s="72"/>
      <c r="R55" s="72"/>
      <c r="S55" s="72"/>
      <c r="T55" s="72"/>
      <c r="U55" s="72"/>
      <c r="V55" s="72"/>
      <c r="W55" s="72"/>
      <c r="X55" s="72"/>
      <c r="Y55" s="1"/>
      <c r="Z55" s="82"/>
      <c r="AA55" s="83"/>
      <c r="AB55" s="83"/>
      <c r="AC55" s="83"/>
      <c r="AD55" s="83"/>
      <c r="AE55" s="83"/>
      <c r="AF55" s="83"/>
      <c r="AG55" s="83"/>
      <c r="AH55" s="83"/>
      <c r="AI55" s="83"/>
      <c r="AJ55" s="83"/>
      <c r="AK55" s="84"/>
      <c r="AL55" s="1"/>
      <c r="AM55" s="163" t="s">
        <v>34</v>
      </c>
      <c r="AN55" s="164"/>
      <c r="AO55" s="165"/>
      <c r="AP55" s="166" t="s">
        <v>35</v>
      </c>
      <c r="AQ55" s="167"/>
      <c r="AR55" s="140">
        <v>0</v>
      </c>
      <c r="AS55" s="140">
        <v>0</v>
      </c>
      <c r="AT55" s="143">
        <v>0</v>
      </c>
      <c r="AU55" s="144"/>
    </row>
    <row r="56" spans="1:51" ht="7.9" customHeight="1">
      <c r="A56" s="1"/>
      <c r="B56" s="133" t="s">
        <v>36</v>
      </c>
      <c r="C56" s="72"/>
      <c r="D56" s="72"/>
      <c r="E56" s="72"/>
      <c r="F56" s="72"/>
      <c r="G56" s="149" t="s">
        <v>37</v>
      </c>
      <c r="H56" s="149"/>
      <c r="I56" s="149"/>
      <c r="J56" s="149"/>
      <c r="K56" s="149"/>
      <c r="L56" s="149"/>
      <c r="M56" s="149"/>
      <c r="N56" s="149"/>
      <c r="O56" s="149"/>
      <c r="P56" s="149"/>
      <c r="Q56" s="149"/>
      <c r="R56" s="149"/>
      <c r="S56" s="149"/>
      <c r="T56" s="119" t="s">
        <v>38</v>
      </c>
      <c r="U56" s="72"/>
      <c r="V56" s="72"/>
      <c r="W56" s="1"/>
      <c r="X56" s="1"/>
      <c r="Y56" s="1"/>
      <c r="Z56" s="82" t="s">
        <v>39</v>
      </c>
      <c r="AA56" s="83"/>
      <c r="AB56" s="83"/>
      <c r="AC56" s="83"/>
      <c r="AD56" s="83"/>
      <c r="AE56" s="83"/>
      <c r="AF56" s="83"/>
      <c r="AG56" s="83"/>
      <c r="AH56" s="83"/>
      <c r="AI56" s="83"/>
      <c r="AJ56" s="83"/>
      <c r="AK56" s="84"/>
      <c r="AL56" s="1"/>
      <c r="AM56" s="163"/>
      <c r="AN56" s="164"/>
      <c r="AO56" s="165"/>
      <c r="AP56" s="166"/>
      <c r="AQ56" s="167"/>
      <c r="AR56" s="141"/>
      <c r="AS56" s="141"/>
      <c r="AT56" s="145"/>
      <c r="AU56" s="146"/>
    </row>
    <row r="57" spans="1:51" ht="1.9" customHeight="1">
      <c r="A57" s="1"/>
      <c r="B57" s="72"/>
      <c r="C57" s="72"/>
      <c r="D57" s="72"/>
      <c r="E57" s="72"/>
      <c r="F57" s="72"/>
      <c r="G57" s="134"/>
      <c r="H57" s="134"/>
      <c r="I57" s="134"/>
      <c r="J57" s="134"/>
      <c r="K57" s="134"/>
      <c r="L57" s="134"/>
      <c r="M57" s="134"/>
      <c r="N57" s="134"/>
      <c r="O57" s="134"/>
      <c r="P57" s="134"/>
      <c r="Q57" s="134"/>
      <c r="R57" s="134"/>
      <c r="S57" s="134"/>
      <c r="T57" s="72"/>
      <c r="U57" s="72"/>
      <c r="V57" s="72"/>
      <c r="W57" s="1"/>
      <c r="X57" s="1"/>
      <c r="Y57" s="1"/>
      <c r="Z57" s="82"/>
      <c r="AA57" s="83"/>
      <c r="AB57" s="83"/>
      <c r="AC57" s="83"/>
      <c r="AD57" s="83"/>
      <c r="AE57" s="83"/>
      <c r="AF57" s="83"/>
      <c r="AG57" s="83"/>
      <c r="AH57" s="83"/>
      <c r="AI57" s="83"/>
      <c r="AJ57" s="83"/>
      <c r="AK57" s="84"/>
      <c r="AL57" s="1"/>
      <c r="AM57" s="123" t="s">
        <v>40</v>
      </c>
      <c r="AN57" s="124"/>
      <c r="AO57" s="124"/>
      <c r="AP57" s="124"/>
      <c r="AQ57" s="125"/>
      <c r="AR57" s="141"/>
      <c r="AS57" s="141"/>
      <c r="AT57" s="145"/>
      <c r="AU57" s="146"/>
    </row>
    <row r="58" spans="1:51" ht="10.15" customHeight="1">
      <c r="A58" s="1"/>
      <c r="B58" s="72"/>
      <c r="C58" s="72"/>
      <c r="D58" s="72"/>
      <c r="E58" s="72"/>
      <c r="F58" s="72"/>
      <c r="G58" s="119" t="s">
        <v>41</v>
      </c>
      <c r="H58" s="72"/>
      <c r="I58" s="72"/>
      <c r="J58" s="72"/>
      <c r="K58" s="72"/>
      <c r="L58" s="72"/>
      <c r="M58" s="72"/>
      <c r="N58" s="72"/>
      <c r="O58" s="72"/>
      <c r="P58" s="72"/>
      <c r="Q58" s="72"/>
      <c r="R58" s="72"/>
      <c r="S58" s="72"/>
      <c r="T58" s="72"/>
      <c r="U58" s="72"/>
      <c r="V58" s="72"/>
      <c r="W58" s="1"/>
      <c r="X58" s="1"/>
      <c r="Y58" s="1"/>
      <c r="Z58" s="77" t="s">
        <v>42</v>
      </c>
      <c r="AA58" s="78"/>
      <c r="AB58" s="78"/>
      <c r="AC58" s="78"/>
      <c r="AD58" s="78"/>
      <c r="AE58" s="78"/>
      <c r="AF58" s="78"/>
      <c r="AG58" s="78"/>
      <c r="AH58" s="78"/>
      <c r="AI58" s="78"/>
      <c r="AJ58" s="78"/>
      <c r="AK58" s="79"/>
      <c r="AL58" s="1"/>
      <c r="AM58" s="105"/>
      <c r="AN58" s="106"/>
      <c r="AO58" s="106"/>
      <c r="AP58" s="106"/>
      <c r="AQ58" s="107"/>
      <c r="AR58" s="142"/>
      <c r="AS58" s="142"/>
      <c r="AT58" s="147"/>
      <c r="AU58" s="148"/>
    </row>
    <row r="59" spans="1:51" ht="10.15" customHeight="1">
      <c r="A59" s="1"/>
      <c r="B59" s="133" t="s">
        <v>43</v>
      </c>
      <c r="C59" s="72"/>
      <c r="D59" s="72"/>
      <c r="E59" s="72"/>
      <c r="F59" s="72"/>
      <c r="G59" s="134" t="s">
        <v>44</v>
      </c>
      <c r="H59" s="134"/>
      <c r="I59" s="134"/>
      <c r="J59" s="134"/>
      <c r="K59" s="134"/>
      <c r="L59" s="134"/>
      <c r="M59" s="134"/>
      <c r="N59" s="134"/>
      <c r="O59" s="134"/>
      <c r="P59" s="134"/>
      <c r="Q59" s="134"/>
      <c r="R59" s="134"/>
      <c r="S59" s="134"/>
      <c r="T59" s="1"/>
      <c r="U59" s="1"/>
      <c r="V59" s="1"/>
      <c r="W59" s="1"/>
      <c r="X59" s="1"/>
      <c r="Y59" s="1"/>
      <c r="Z59" s="77"/>
      <c r="AA59" s="72"/>
      <c r="AB59" s="72"/>
      <c r="AC59" s="72"/>
      <c r="AD59" s="72"/>
      <c r="AE59" s="72"/>
      <c r="AF59" s="72"/>
      <c r="AG59" s="72"/>
      <c r="AH59" s="72"/>
      <c r="AI59" s="72"/>
      <c r="AJ59" s="72"/>
      <c r="AK59" s="79"/>
      <c r="AL59" s="1"/>
      <c r="AM59" s="135" t="s">
        <v>45</v>
      </c>
      <c r="AN59" s="136"/>
      <c r="AO59" s="136"/>
      <c r="AP59" s="136"/>
      <c r="AQ59" s="137"/>
      <c r="AR59" s="66">
        <v>21</v>
      </c>
      <c r="AS59" s="66">
        <v>19</v>
      </c>
      <c r="AT59" s="60">
        <f>AR59+AS59</f>
        <v>40</v>
      </c>
      <c r="AU59" s="61"/>
    </row>
    <row r="60" spans="1:51" ht="10.15" customHeight="1">
      <c r="A60" s="1"/>
      <c r="B60" s="72"/>
      <c r="C60" s="72"/>
      <c r="D60" s="72"/>
      <c r="E60" s="72"/>
      <c r="F60" s="72"/>
      <c r="G60" s="119" t="s">
        <v>46</v>
      </c>
      <c r="H60" s="72"/>
      <c r="I60" s="72"/>
      <c r="J60" s="72"/>
      <c r="K60" s="72"/>
      <c r="L60" s="72"/>
      <c r="M60" s="72"/>
      <c r="N60" s="72"/>
      <c r="O60" s="72"/>
      <c r="P60" s="72"/>
      <c r="Q60" s="72"/>
      <c r="R60" s="72"/>
      <c r="S60" s="72"/>
      <c r="T60" s="1"/>
      <c r="U60" s="1"/>
      <c r="V60" s="1"/>
      <c r="W60" s="1"/>
      <c r="X60" s="1"/>
      <c r="Y60" s="1"/>
      <c r="Z60" s="77"/>
      <c r="AA60" s="72"/>
      <c r="AB60" s="72"/>
      <c r="AC60" s="72"/>
      <c r="AD60" s="72"/>
      <c r="AE60" s="72"/>
      <c r="AF60" s="72"/>
      <c r="AG60" s="72"/>
      <c r="AH60" s="72"/>
      <c r="AI60" s="72"/>
      <c r="AJ60" s="72"/>
      <c r="AK60" s="79"/>
      <c r="AL60" s="1"/>
      <c r="AM60" s="120" t="s">
        <v>47</v>
      </c>
      <c r="AN60" s="121"/>
      <c r="AO60" s="121"/>
      <c r="AP60" s="121"/>
      <c r="AQ60" s="122"/>
      <c r="AR60" s="102"/>
      <c r="AS60" s="102"/>
      <c r="AT60" s="103"/>
      <c r="AU60" s="104"/>
    </row>
    <row r="61" spans="1:51" ht="10.15" customHeight="1">
      <c r="A61" s="1"/>
      <c r="B61" s="133" t="s">
        <v>48</v>
      </c>
      <c r="C61" s="72"/>
      <c r="D61" s="72"/>
      <c r="E61" s="72"/>
      <c r="F61" s="72"/>
      <c r="G61" s="134" t="s">
        <v>49</v>
      </c>
      <c r="H61" s="134"/>
      <c r="I61" s="134"/>
      <c r="J61" s="134"/>
      <c r="K61" s="134"/>
      <c r="L61" s="134"/>
      <c r="M61" s="134"/>
      <c r="N61" s="134"/>
      <c r="O61" s="134"/>
      <c r="P61" s="134"/>
      <c r="Q61" s="134"/>
      <c r="R61" s="134"/>
      <c r="S61" s="134"/>
      <c r="T61" s="119" t="s">
        <v>38</v>
      </c>
      <c r="U61" s="72"/>
      <c r="V61" s="72"/>
      <c r="W61" s="1"/>
      <c r="X61" s="1"/>
      <c r="Y61" s="1"/>
      <c r="Z61" s="77"/>
      <c r="AA61" s="78"/>
      <c r="AB61" s="78"/>
      <c r="AC61" s="78"/>
      <c r="AD61" s="78"/>
      <c r="AE61" s="78"/>
      <c r="AF61" s="78"/>
      <c r="AG61" s="78"/>
      <c r="AH61" s="78"/>
      <c r="AI61" s="78"/>
      <c r="AJ61" s="78"/>
      <c r="AK61" s="79"/>
      <c r="AL61" s="1"/>
      <c r="AM61" s="135" t="s">
        <v>50</v>
      </c>
      <c r="AN61" s="136"/>
      <c r="AO61" s="136"/>
      <c r="AP61" s="136"/>
      <c r="AQ61" s="137"/>
      <c r="AR61" s="138">
        <f>AR59/AR53*100</f>
        <v>100</v>
      </c>
      <c r="AS61" s="138">
        <f>AS59/AS53*100</f>
        <v>100</v>
      </c>
      <c r="AT61" s="115">
        <f>AT59/AT53*100</f>
        <v>100</v>
      </c>
      <c r="AU61" s="116"/>
      <c r="AW61" s="36" t="s">
        <v>135</v>
      </c>
    </row>
    <row r="62" spans="1:51" ht="10.15" customHeight="1">
      <c r="A62" s="1"/>
      <c r="B62" s="72"/>
      <c r="C62" s="72"/>
      <c r="D62" s="72"/>
      <c r="E62" s="72"/>
      <c r="F62" s="72"/>
      <c r="G62" s="119" t="s">
        <v>37</v>
      </c>
      <c r="H62" s="72"/>
      <c r="I62" s="72"/>
      <c r="J62" s="72"/>
      <c r="K62" s="72"/>
      <c r="L62" s="72"/>
      <c r="M62" s="72"/>
      <c r="N62" s="72"/>
      <c r="O62" s="72"/>
      <c r="P62" s="72"/>
      <c r="Q62" s="72"/>
      <c r="R62" s="72"/>
      <c r="S62" s="72"/>
      <c r="T62" s="72"/>
      <c r="U62" s="72"/>
      <c r="V62" s="72"/>
      <c r="W62" s="1"/>
      <c r="X62" s="1"/>
      <c r="Y62" s="1"/>
      <c r="Z62" s="82" t="s">
        <v>51</v>
      </c>
      <c r="AA62" s="83"/>
      <c r="AB62" s="83"/>
      <c r="AC62" s="83"/>
      <c r="AD62" s="83"/>
      <c r="AE62" s="83"/>
      <c r="AF62" s="83"/>
      <c r="AG62" s="83"/>
      <c r="AH62" s="83"/>
      <c r="AI62" s="83"/>
      <c r="AJ62" s="83"/>
      <c r="AK62" s="84"/>
      <c r="AL62" s="1"/>
      <c r="AM62" s="120" t="s">
        <v>47</v>
      </c>
      <c r="AN62" s="121"/>
      <c r="AO62" s="121"/>
      <c r="AP62" s="121"/>
      <c r="AQ62" s="122"/>
      <c r="AR62" s="139"/>
      <c r="AS62" s="139"/>
      <c r="AT62" s="117"/>
      <c r="AU62" s="118"/>
    </row>
    <row r="63" spans="1:51" ht="10.15" customHeight="1">
      <c r="A63" s="1"/>
      <c r="B63" s="1"/>
      <c r="C63" s="1"/>
      <c r="D63" s="1"/>
      <c r="E63" s="1"/>
      <c r="F63" s="1"/>
      <c r="G63" s="1"/>
      <c r="H63" s="1"/>
      <c r="I63" s="1"/>
      <c r="J63" s="1"/>
      <c r="K63" s="1"/>
      <c r="L63" s="1"/>
      <c r="M63" s="1"/>
      <c r="N63" s="1"/>
      <c r="O63" s="1"/>
      <c r="P63" s="1"/>
      <c r="Q63" s="1"/>
      <c r="R63" s="1"/>
      <c r="S63" s="1"/>
      <c r="T63" s="1"/>
      <c r="U63" s="1"/>
      <c r="V63" s="1"/>
      <c r="W63" s="1"/>
      <c r="X63" s="1"/>
      <c r="Y63" s="1"/>
      <c r="Z63" s="77" t="s">
        <v>52</v>
      </c>
      <c r="AA63" s="78"/>
      <c r="AB63" s="78"/>
      <c r="AC63" s="78"/>
      <c r="AD63" s="78"/>
      <c r="AE63" s="78"/>
      <c r="AF63" s="78"/>
      <c r="AG63" s="78"/>
      <c r="AH63" s="78"/>
      <c r="AI63" s="78"/>
      <c r="AJ63" s="78"/>
      <c r="AK63" s="79"/>
      <c r="AL63" s="1"/>
      <c r="AM63" s="123" t="s">
        <v>53</v>
      </c>
      <c r="AN63" s="124"/>
      <c r="AO63" s="124"/>
      <c r="AP63" s="124"/>
      <c r="AQ63" s="125"/>
      <c r="AR63" s="126">
        <f>AO29/AW5</f>
        <v>21</v>
      </c>
      <c r="AS63" s="126">
        <f>AO49/AW5</f>
        <v>19</v>
      </c>
      <c r="AT63" s="128">
        <f>AO50/AW5</f>
        <v>40</v>
      </c>
      <c r="AU63" s="129"/>
    </row>
    <row r="64" spans="1:51" ht="4.9000000000000004" customHeight="1">
      <c r="A64" s="132" t="s">
        <v>54</v>
      </c>
      <c r="B64" s="72"/>
      <c r="C64" s="72"/>
      <c r="D64" s="72"/>
      <c r="E64" s="72"/>
      <c r="F64" s="72"/>
      <c r="G64" s="72"/>
      <c r="H64" s="72"/>
      <c r="I64" s="72"/>
      <c r="J64" s="72"/>
      <c r="K64" s="72"/>
      <c r="L64" s="72"/>
      <c r="M64" s="72"/>
      <c r="N64" s="72"/>
      <c r="O64" s="72"/>
      <c r="P64" s="72"/>
      <c r="Q64" s="72"/>
      <c r="R64" s="72"/>
      <c r="S64" s="72"/>
      <c r="T64" s="72"/>
      <c r="U64" s="72"/>
      <c r="V64" s="72"/>
      <c r="W64" s="72"/>
      <c r="X64" s="72"/>
      <c r="Y64" s="1"/>
      <c r="Z64" s="77"/>
      <c r="AA64" s="72"/>
      <c r="AB64" s="72"/>
      <c r="AC64" s="72"/>
      <c r="AD64" s="72"/>
      <c r="AE64" s="72"/>
      <c r="AF64" s="72"/>
      <c r="AG64" s="72"/>
      <c r="AH64" s="72"/>
      <c r="AI64" s="72"/>
      <c r="AJ64" s="72"/>
      <c r="AK64" s="79"/>
      <c r="AL64" s="1"/>
      <c r="AM64" s="105"/>
      <c r="AN64" s="106"/>
      <c r="AO64" s="106"/>
      <c r="AP64" s="106"/>
      <c r="AQ64" s="107"/>
      <c r="AR64" s="127"/>
      <c r="AS64" s="127"/>
      <c r="AT64" s="130"/>
      <c r="AU64" s="131"/>
    </row>
    <row r="65" spans="1:47" ht="15" customHeight="1">
      <c r="A65" s="72"/>
      <c r="B65" s="72"/>
      <c r="C65" s="72"/>
      <c r="D65" s="72"/>
      <c r="E65" s="72"/>
      <c r="F65" s="72"/>
      <c r="G65" s="72"/>
      <c r="H65" s="72"/>
      <c r="I65" s="72"/>
      <c r="J65" s="72"/>
      <c r="K65" s="72"/>
      <c r="L65" s="72"/>
      <c r="M65" s="72"/>
      <c r="N65" s="72"/>
      <c r="O65" s="72"/>
      <c r="P65" s="72"/>
      <c r="Q65" s="72"/>
      <c r="R65" s="72"/>
      <c r="S65" s="72"/>
      <c r="T65" s="72"/>
      <c r="U65" s="72"/>
      <c r="V65" s="72"/>
      <c r="W65" s="72"/>
      <c r="X65" s="72"/>
      <c r="Y65" s="1"/>
      <c r="Z65" s="77"/>
      <c r="AA65" s="72"/>
      <c r="AB65" s="72"/>
      <c r="AC65" s="72"/>
      <c r="AD65" s="72"/>
      <c r="AE65" s="72"/>
      <c r="AF65" s="72"/>
      <c r="AG65" s="72"/>
      <c r="AH65" s="72"/>
      <c r="AI65" s="72"/>
      <c r="AJ65" s="72"/>
      <c r="AK65" s="79"/>
      <c r="AL65" s="1"/>
      <c r="AM65" s="105" t="s">
        <v>55</v>
      </c>
      <c r="AN65" s="106"/>
      <c r="AO65" s="106"/>
      <c r="AP65" s="106"/>
      <c r="AQ65" s="107"/>
      <c r="AR65" s="38">
        <f>AR63/AR59*100</f>
        <v>100</v>
      </c>
      <c r="AS65" s="38">
        <f>AS63/AS59*100</f>
        <v>100</v>
      </c>
      <c r="AT65" s="108">
        <f>AT63/AT59*100</f>
        <v>100</v>
      </c>
      <c r="AU65" s="109"/>
    </row>
    <row r="66" spans="1:47" ht="21" customHeight="1">
      <c r="A66" s="72"/>
      <c r="B66" s="72"/>
      <c r="C66" s="72"/>
      <c r="D66" s="72"/>
      <c r="E66" s="72"/>
      <c r="F66" s="72"/>
      <c r="G66" s="72"/>
      <c r="H66" s="72"/>
      <c r="I66" s="72"/>
      <c r="J66" s="72"/>
      <c r="K66" s="72"/>
      <c r="L66" s="72"/>
      <c r="M66" s="72"/>
      <c r="N66" s="72"/>
      <c r="O66" s="72"/>
      <c r="P66" s="72"/>
      <c r="Q66" s="72"/>
      <c r="R66" s="72"/>
      <c r="S66" s="72"/>
      <c r="T66" s="72"/>
      <c r="U66" s="72"/>
      <c r="V66" s="72"/>
      <c r="W66" s="72"/>
      <c r="X66" s="72"/>
      <c r="Y66" s="1"/>
      <c r="Z66" s="77"/>
      <c r="AA66" s="72"/>
      <c r="AB66" s="72"/>
      <c r="AC66" s="72"/>
      <c r="AD66" s="72"/>
      <c r="AE66" s="72"/>
      <c r="AF66" s="72"/>
      <c r="AG66" s="72"/>
      <c r="AH66" s="72"/>
      <c r="AI66" s="72"/>
      <c r="AJ66" s="72"/>
      <c r="AK66" s="79"/>
      <c r="AL66" s="1"/>
      <c r="AM66" s="105" t="s">
        <v>56</v>
      </c>
      <c r="AN66" s="106"/>
      <c r="AO66" s="106"/>
      <c r="AP66" s="106"/>
      <c r="AQ66" s="107"/>
      <c r="AR66" s="2">
        <v>0</v>
      </c>
      <c r="AS66" s="2">
        <v>0</v>
      </c>
      <c r="AT66" s="110">
        <v>0</v>
      </c>
      <c r="AU66" s="111"/>
    </row>
    <row r="67" spans="1:47" ht="9" customHeight="1">
      <c r="A67" s="72"/>
      <c r="B67" s="72"/>
      <c r="C67" s="72"/>
      <c r="D67" s="72"/>
      <c r="E67" s="72"/>
      <c r="F67" s="72"/>
      <c r="G67" s="72"/>
      <c r="H67" s="72"/>
      <c r="I67" s="72"/>
      <c r="J67" s="72"/>
      <c r="K67" s="72"/>
      <c r="L67" s="72"/>
      <c r="M67" s="72"/>
      <c r="N67" s="72"/>
      <c r="O67" s="72"/>
      <c r="P67" s="72"/>
      <c r="Q67" s="72"/>
      <c r="R67" s="72"/>
      <c r="S67" s="72"/>
      <c r="T67" s="72"/>
      <c r="U67" s="72"/>
      <c r="V67" s="72"/>
      <c r="W67" s="72"/>
      <c r="X67" s="72"/>
      <c r="Y67" s="1"/>
      <c r="Z67" s="77"/>
      <c r="AA67" s="78"/>
      <c r="AB67" s="78"/>
      <c r="AC67" s="78"/>
      <c r="AD67" s="78"/>
      <c r="AE67" s="78"/>
      <c r="AF67" s="78"/>
      <c r="AG67" s="78"/>
      <c r="AH67" s="78"/>
      <c r="AI67" s="78"/>
      <c r="AJ67" s="78"/>
      <c r="AK67" s="79"/>
      <c r="AL67" s="1"/>
      <c r="AM67" s="112" t="s">
        <v>57</v>
      </c>
      <c r="AN67" s="113"/>
      <c r="AO67" s="113"/>
      <c r="AP67" s="113"/>
      <c r="AQ67" s="114"/>
      <c r="AR67" s="66">
        <v>0</v>
      </c>
      <c r="AS67" s="66">
        <v>0</v>
      </c>
      <c r="AT67" s="60">
        <v>0</v>
      </c>
      <c r="AU67" s="61"/>
    </row>
    <row r="68" spans="1:47" ht="4.1500000000000004" customHeight="1">
      <c r="A68" s="1"/>
      <c r="B68" s="68" t="s">
        <v>58</v>
      </c>
      <c r="C68" s="69"/>
      <c r="D68" s="69"/>
      <c r="E68" s="69"/>
      <c r="F68" s="69"/>
      <c r="G68" s="69"/>
      <c r="H68" s="69"/>
      <c r="I68" s="69"/>
      <c r="J68" s="69"/>
      <c r="K68" s="69"/>
      <c r="L68" s="69"/>
      <c r="M68" s="69"/>
      <c r="N68" s="69"/>
      <c r="O68" s="69"/>
      <c r="P68" s="69"/>
      <c r="Q68" s="69"/>
      <c r="R68" s="69"/>
      <c r="S68" s="69"/>
      <c r="T68" s="69"/>
      <c r="U68" s="69"/>
      <c r="V68" s="69"/>
      <c r="W68" s="69"/>
      <c r="X68" s="70"/>
      <c r="Y68" s="1"/>
      <c r="Z68" s="82" t="s">
        <v>59</v>
      </c>
      <c r="AA68" s="83"/>
      <c r="AB68" s="83"/>
      <c r="AC68" s="83"/>
      <c r="AD68" s="83"/>
      <c r="AE68" s="83"/>
      <c r="AF68" s="83"/>
      <c r="AG68" s="83"/>
      <c r="AH68" s="83"/>
      <c r="AI68" s="83"/>
      <c r="AJ68" s="83"/>
      <c r="AK68" s="84"/>
      <c r="AL68" s="1"/>
      <c r="AM68" s="99"/>
      <c r="AN68" s="100"/>
      <c r="AO68" s="100"/>
      <c r="AP68" s="100"/>
      <c r="AQ68" s="101"/>
      <c r="AR68" s="102"/>
      <c r="AS68" s="102"/>
      <c r="AT68" s="103"/>
      <c r="AU68" s="104"/>
    </row>
    <row r="69" spans="1:47" ht="6" customHeight="1">
      <c r="A69" s="1"/>
      <c r="B69" s="71"/>
      <c r="C69" s="72"/>
      <c r="D69" s="72"/>
      <c r="E69" s="72"/>
      <c r="F69" s="72"/>
      <c r="G69" s="72"/>
      <c r="H69" s="72"/>
      <c r="I69" s="72"/>
      <c r="J69" s="72"/>
      <c r="K69" s="72"/>
      <c r="L69" s="72"/>
      <c r="M69" s="72"/>
      <c r="N69" s="72"/>
      <c r="O69" s="72"/>
      <c r="P69" s="72"/>
      <c r="Q69" s="72"/>
      <c r="R69" s="72"/>
      <c r="S69" s="72"/>
      <c r="T69" s="72"/>
      <c r="U69" s="72"/>
      <c r="V69" s="72"/>
      <c r="W69" s="72"/>
      <c r="X69" s="73"/>
      <c r="Y69" s="1"/>
      <c r="Z69" s="82"/>
      <c r="AA69" s="83"/>
      <c r="AB69" s="83"/>
      <c r="AC69" s="83"/>
      <c r="AD69" s="83"/>
      <c r="AE69" s="83"/>
      <c r="AF69" s="83"/>
      <c r="AG69" s="83"/>
      <c r="AH69" s="83"/>
      <c r="AI69" s="83"/>
      <c r="AJ69" s="83"/>
      <c r="AK69" s="84"/>
      <c r="AL69" s="1"/>
      <c r="AM69" s="87" t="s">
        <v>60</v>
      </c>
      <c r="AN69" s="88"/>
      <c r="AO69" s="88"/>
      <c r="AP69" s="88"/>
      <c r="AQ69" s="89"/>
      <c r="AR69" s="66">
        <v>0</v>
      </c>
      <c r="AS69" s="66">
        <v>0</v>
      </c>
      <c r="AT69" s="60">
        <v>0</v>
      </c>
      <c r="AU69" s="61"/>
    </row>
    <row r="70" spans="1:47" ht="7.15" customHeight="1">
      <c r="A70" s="1"/>
      <c r="B70" s="71"/>
      <c r="C70" s="72"/>
      <c r="D70" s="72"/>
      <c r="E70" s="72"/>
      <c r="F70" s="72"/>
      <c r="G70" s="72"/>
      <c r="H70" s="72"/>
      <c r="I70" s="72"/>
      <c r="J70" s="72"/>
      <c r="K70" s="72"/>
      <c r="L70" s="72"/>
      <c r="M70" s="72"/>
      <c r="N70" s="72"/>
      <c r="O70" s="72"/>
      <c r="P70" s="72"/>
      <c r="Q70" s="72"/>
      <c r="R70" s="72"/>
      <c r="S70" s="72"/>
      <c r="T70" s="72"/>
      <c r="U70" s="72"/>
      <c r="V70" s="72"/>
      <c r="W70" s="72"/>
      <c r="X70" s="73"/>
      <c r="Y70" s="1"/>
      <c r="Z70" s="77" t="s">
        <v>61</v>
      </c>
      <c r="AA70" s="78"/>
      <c r="AB70" s="78"/>
      <c r="AC70" s="78"/>
      <c r="AD70" s="78"/>
      <c r="AE70" s="78"/>
      <c r="AF70" s="78"/>
      <c r="AG70" s="78"/>
      <c r="AH70" s="78"/>
      <c r="AI70" s="78"/>
      <c r="AJ70" s="78"/>
      <c r="AK70" s="79"/>
      <c r="AL70" s="1"/>
      <c r="AM70" s="99"/>
      <c r="AN70" s="100"/>
      <c r="AO70" s="100"/>
      <c r="AP70" s="100"/>
      <c r="AQ70" s="101"/>
      <c r="AR70" s="102"/>
      <c r="AS70" s="102"/>
      <c r="AT70" s="103"/>
      <c r="AU70" s="104"/>
    </row>
    <row r="71" spans="1:47" ht="3" customHeight="1">
      <c r="A71" s="1"/>
      <c r="B71" s="74"/>
      <c r="C71" s="75"/>
      <c r="D71" s="75"/>
      <c r="E71" s="75"/>
      <c r="F71" s="75"/>
      <c r="G71" s="75"/>
      <c r="H71" s="75"/>
      <c r="I71" s="75"/>
      <c r="J71" s="75"/>
      <c r="K71" s="75"/>
      <c r="L71" s="75"/>
      <c r="M71" s="75"/>
      <c r="N71" s="75"/>
      <c r="O71" s="75"/>
      <c r="P71" s="75"/>
      <c r="Q71" s="75"/>
      <c r="R71" s="75"/>
      <c r="S71" s="75"/>
      <c r="T71" s="75"/>
      <c r="U71" s="75"/>
      <c r="V71" s="75"/>
      <c r="W71" s="75"/>
      <c r="X71" s="76"/>
      <c r="Y71" s="1"/>
      <c r="Z71" s="77"/>
      <c r="AA71" s="72"/>
      <c r="AB71" s="72"/>
      <c r="AC71" s="72"/>
      <c r="AD71" s="72"/>
      <c r="AE71" s="72"/>
      <c r="AF71" s="72"/>
      <c r="AG71" s="72"/>
      <c r="AH71" s="72"/>
      <c r="AI71" s="72"/>
      <c r="AJ71" s="72"/>
      <c r="AK71" s="79"/>
      <c r="AL71" s="1"/>
      <c r="AM71" s="87" t="s">
        <v>62</v>
      </c>
      <c r="AN71" s="88"/>
      <c r="AO71" s="88"/>
      <c r="AP71" s="88"/>
      <c r="AQ71" s="89"/>
      <c r="AR71" s="66">
        <v>0</v>
      </c>
      <c r="AS71" s="66">
        <v>0</v>
      </c>
      <c r="AT71" s="60">
        <v>0</v>
      </c>
      <c r="AU71" s="61"/>
    </row>
    <row r="72" spans="1:47" ht="10.15" customHeight="1" thickBot="1">
      <c r="A72" s="1"/>
      <c r="B72" s="1"/>
      <c r="C72" s="1"/>
      <c r="D72" s="1"/>
      <c r="E72" s="1"/>
      <c r="F72" s="1"/>
      <c r="G72" s="1"/>
      <c r="H72" s="1"/>
      <c r="I72" s="1"/>
      <c r="J72" s="1"/>
      <c r="K72" s="1"/>
      <c r="L72" s="1"/>
      <c r="M72" s="1"/>
      <c r="N72" s="1"/>
      <c r="O72" s="1"/>
      <c r="P72" s="1"/>
      <c r="Q72" s="1"/>
      <c r="R72" s="1"/>
      <c r="S72" s="1"/>
      <c r="T72" s="1"/>
      <c r="U72" s="1"/>
      <c r="V72" s="1"/>
      <c r="W72" s="1"/>
      <c r="X72" s="1"/>
      <c r="Y72" s="1"/>
      <c r="Z72" s="77"/>
      <c r="AA72" s="72"/>
      <c r="AB72" s="72"/>
      <c r="AC72" s="72"/>
      <c r="AD72" s="72"/>
      <c r="AE72" s="72"/>
      <c r="AF72" s="72"/>
      <c r="AG72" s="72"/>
      <c r="AH72" s="72"/>
      <c r="AI72" s="72"/>
      <c r="AJ72" s="72"/>
      <c r="AK72" s="79"/>
      <c r="AL72" s="1"/>
      <c r="AM72" s="90"/>
      <c r="AN72" s="91"/>
      <c r="AO72" s="91"/>
      <c r="AP72" s="91"/>
      <c r="AQ72" s="92"/>
      <c r="AR72" s="67"/>
      <c r="AS72" s="67"/>
      <c r="AT72" s="62"/>
      <c r="AU72" s="63"/>
    </row>
    <row r="73" spans="1:47" ht="10.15" customHeight="1">
      <c r="A73" s="1"/>
      <c r="B73" s="1"/>
      <c r="C73" s="1"/>
      <c r="D73" s="1"/>
      <c r="E73" s="1"/>
      <c r="F73" s="1"/>
      <c r="G73" s="1"/>
      <c r="H73" s="1"/>
      <c r="I73" s="1"/>
      <c r="J73" s="1"/>
      <c r="K73" s="1"/>
      <c r="L73" s="1"/>
      <c r="M73" s="1"/>
      <c r="N73" s="1"/>
      <c r="O73" s="1"/>
      <c r="P73" s="1"/>
      <c r="Q73" s="1"/>
      <c r="R73" s="1"/>
      <c r="S73" s="1"/>
      <c r="T73" s="1"/>
      <c r="U73" s="1"/>
      <c r="V73" s="1"/>
      <c r="W73" s="1"/>
      <c r="X73" s="1"/>
      <c r="Y73" s="1"/>
      <c r="Z73" s="77"/>
      <c r="AA73" s="78"/>
      <c r="AB73" s="78"/>
      <c r="AC73" s="78"/>
      <c r="AD73" s="78"/>
      <c r="AE73" s="78"/>
      <c r="AF73" s="78"/>
      <c r="AG73" s="78"/>
      <c r="AH73" s="78"/>
      <c r="AI73" s="78"/>
      <c r="AJ73" s="78"/>
      <c r="AK73" s="79"/>
      <c r="AL73" s="1"/>
      <c r="AM73" s="1"/>
      <c r="AN73" s="1"/>
      <c r="AO73" s="1"/>
      <c r="AP73" s="1"/>
      <c r="AQ73" s="1"/>
      <c r="AR73" s="1"/>
      <c r="AS73" s="1"/>
      <c r="AT73" s="1"/>
      <c r="AU73" s="1"/>
    </row>
    <row r="74" spans="1:47" ht="10.15" customHeight="1">
      <c r="A74" s="1"/>
      <c r="B74" s="1"/>
      <c r="C74" s="1"/>
      <c r="D74" s="1"/>
      <c r="E74" s="1"/>
      <c r="F74" s="1"/>
      <c r="G74" s="1"/>
      <c r="H74" s="1"/>
      <c r="I74" s="1"/>
      <c r="J74" s="1"/>
      <c r="K74" s="1"/>
      <c r="L74" s="1"/>
      <c r="M74" s="1"/>
      <c r="N74" s="1"/>
      <c r="O74" s="1"/>
      <c r="P74" s="1"/>
      <c r="Q74" s="1"/>
      <c r="R74" s="1"/>
      <c r="S74" s="1"/>
      <c r="T74" s="1"/>
      <c r="U74" s="1"/>
      <c r="V74" s="1"/>
      <c r="W74" s="1"/>
      <c r="X74" s="1"/>
      <c r="Y74" s="1"/>
      <c r="Z74" s="82" t="s">
        <v>63</v>
      </c>
      <c r="AA74" s="83"/>
      <c r="AB74" s="83"/>
      <c r="AC74" s="83"/>
      <c r="AD74" s="83"/>
      <c r="AE74" s="83"/>
      <c r="AF74" s="83"/>
      <c r="AG74" s="83"/>
      <c r="AH74" s="83"/>
      <c r="AI74" s="83"/>
      <c r="AJ74" s="83"/>
      <c r="AK74" s="84"/>
      <c r="AL74" s="1"/>
      <c r="AM74" s="85" t="s">
        <v>64</v>
      </c>
      <c r="AN74" s="72"/>
      <c r="AO74" s="72"/>
      <c r="AP74" s="72"/>
      <c r="AQ74" s="72"/>
      <c r="AR74" s="72"/>
      <c r="AS74" s="72"/>
      <c r="AT74" s="72"/>
      <c r="AU74" s="72"/>
    </row>
    <row r="75" spans="1:47" ht="10.15" customHeight="1">
      <c r="A75" s="1"/>
      <c r="B75" s="1"/>
      <c r="C75" s="1"/>
      <c r="D75" s="1"/>
      <c r="E75" s="1"/>
      <c r="F75" s="1"/>
      <c r="G75" s="1"/>
      <c r="H75" s="1"/>
      <c r="I75" s="1"/>
      <c r="J75" s="1"/>
      <c r="K75" s="1"/>
      <c r="L75" s="1"/>
      <c r="M75" s="1"/>
      <c r="N75" s="1"/>
      <c r="O75" s="1"/>
      <c r="P75" s="1"/>
      <c r="Q75" s="1"/>
      <c r="R75" s="1"/>
      <c r="S75" s="1"/>
      <c r="T75" s="1"/>
      <c r="U75" s="1"/>
      <c r="V75" s="1"/>
      <c r="W75" s="1"/>
      <c r="X75" s="1"/>
      <c r="Y75" s="1"/>
      <c r="Z75" s="77" t="s">
        <v>65</v>
      </c>
      <c r="AA75" s="78"/>
      <c r="AB75" s="78"/>
      <c r="AC75" s="78"/>
      <c r="AD75" s="78"/>
      <c r="AE75" s="78"/>
      <c r="AF75" s="78"/>
      <c r="AG75" s="78"/>
      <c r="AH75" s="78"/>
      <c r="AI75" s="78"/>
      <c r="AJ75" s="78"/>
      <c r="AK75" s="79"/>
      <c r="AL75" s="1"/>
      <c r="AM75" s="72"/>
      <c r="AN75" s="72"/>
      <c r="AO75" s="72"/>
      <c r="AP75" s="72"/>
      <c r="AQ75" s="72"/>
      <c r="AR75" s="72"/>
      <c r="AS75" s="72"/>
      <c r="AT75" s="72"/>
      <c r="AU75" s="72"/>
    </row>
    <row r="76" spans="1:47" ht="19.899999999999999" customHeight="1">
      <c r="A76" s="1"/>
      <c r="B76" s="1"/>
      <c r="C76" s="1"/>
      <c r="D76" s="1"/>
      <c r="E76" s="1"/>
      <c r="F76" s="1"/>
      <c r="G76" s="1"/>
      <c r="H76" s="1"/>
      <c r="I76" s="1"/>
      <c r="J76" s="1"/>
      <c r="K76" s="1"/>
      <c r="L76" s="1"/>
      <c r="M76" s="1"/>
      <c r="N76" s="1"/>
      <c r="O76" s="1"/>
      <c r="P76" s="1"/>
      <c r="Q76" s="1"/>
      <c r="R76" s="1"/>
      <c r="S76" s="1"/>
      <c r="T76" s="1"/>
      <c r="U76" s="1"/>
      <c r="V76" s="1"/>
      <c r="W76" s="1"/>
      <c r="X76" s="1"/>
      <c r="Y76" s="1"/>
      <c r="Z76" s="77"/>
      <c r="AA76" s="78"/>
      <c r="AB76" s="78"/>
      <c r="AC76" s="78"/>
      <c r="AD76" s="78"/>
      <c r="AE76" s="78"/>
      <c r="AF76" s="78"/>
      <c r="AG76" s="78"/>
      <c r="AH76" s="78"/>
      <c r="AI76" s="78"/>
      <c r="AJ76" s="78"/>
      <c r="AK76" s="79"/>
      <c r="AL76" s="1"/>
      <c r="AM76" s="1"/>
      <c r="AN76" s="86" t="s">
        <v>81</v>
      </c>
      <c r="AO76" s="86"/>
      <c r="AP76" s="86"/>
      <c r="AQ76" s="86"/>
      <c r="AR76" s="86"/>
      <c r="AS76" s="86"/>
      <c r="AT76" s="86"/>
      <c r="AU76" s="86"/>
    </row>
    <row r="77" spans="1:47" ht="10.15" customHeight="1" thickBot="1">
      <c r="A77" s="1"/>
      <c r="B77" s="1"/>
      <c r="C77" s="1"/>
      <c r="D77" s="1"/>
      <c r="E77" s="1"/>
      <c r="F77" s="1"/>
      <c r="G77" s="1"/>
      <c r="H77" s="1"/>
      <c r="I77" s="1"/>
      <c r="J77" s="1"/>
      <c r="K77" s="1"/>
      <c r="L77" s="1"/>
      <c r="M77" s="1"/>
      <c r="N77" s="1"/>
      <c r="O77" s="1"/>
      <c r="P77" s="1"/>
      <c r="Q77" s="1"/>
      <c r="R77" s="1"/>
      <c r="S77" s="1"/>
      <c r="T77" s="1"/>
      <c r="U77" s="1"/>
      <c r="V77" s="1"/>
      <c r="W77" s="1"/>
      <c r="X77" s="1"/>
      <c r="Y77" s="1"/>
      <c r="Z77" s="82" t="s">
        <v>66</v>
      </c>
      <c r="AA77" s="83"/>
      <c r="AB77" s="83"/>
      <c r="AC77" s="83"/>
      <c r="AD77" s="83"/>
      <c r="AE77" s="83"/>
      <c r="AF77" s="83"/>
      <c r="AG77" s="83"/>
      <c r="AH77" s="83"/>
      <c r="AI77" s="83"/>
      <c r="AJ77" s="83"/>
      <c r="AK77" s="84"/>
      <c r="AL77" s="1"/>
      <c r="AM77" s="1"/>
      <c r="AN77" s="65"/>
      <c r="AO77" s="65"/>
      <c r="AP77" s="65"/>
      <c r="AQ77" s="65"/>
      <c r="AR77" s="65"/>
      <c r="AS77" s="65"/>
      <c r="AT77" s="65"/>
      <c r="AU77" s="65"/>
    </row>
    <row r="78" spans="1:47" ht="10.15" customHeight="1">
      <c r="A78" s="1"/>
      <c r="B78" s="1"/>
      <c r="C78" s="1"/>
      <c r="D78" s="1"/>
      <c r="E78" s="1"/>
      <c r="F78" s="1"/>
      <c r="G78" s="1"/>
      <c r="H78" s="1"/>
      <c r="I78" s="1"/>
      <c r="J78" s="1"/>
      <c r="K78" s="1"/>
      <c r="L78" s="1"/>
      <c r="M78" s="1"/>
      <c r="N78" s="1"/>
      <c r="O78" s="1"/>
      <c r="P78" s="1"/>
      <c r="Q78" s="1"/>
      <c r="R78" s="1"/>
      <c r="S78" s="1"/>
      <c r="T78" s="1"/>
      <c r="U78" s="1"/>
      <c r="V78" s="1"/>
      <c r="W78" s="1"/>
      <c r="X78" s="1"/>
      <c r="Y78" s="1"/>
      <c r="Z78" s="77" t="s">
        <v>67</v>
      </c>
      <c r="AA78" s="78"/>
      <c r="AB78" s="78"/>
      <c r="AC78" s="78"/>
      <c r="AD78" s="78"/>
      <c r="AE78" s="78"/>
      <c r="AF78" s="78"/>
      <c r="AG78" s="78"/>
      <c r="AH78" s="78"/>
      <c r="AI78" s="78"/>
      <c r="AJ78" s="78"/>
      <c r="AK78" s="79"/>
      <c r="AL78" s="1"/>
      <c r="AM78" s="1"/>
      <c r="AN78" s="81" t="s">
        <v>68</v>
      </c>
      <c r="AO78" s="72"/>
      <c r="AP78" s="72"/>
      <c r="AQ78" s="72"/>
      <c r="AR78" s="72"/>
      <c r="AS78" s="72"/>
      <c r="AT78" s="72"/>
      <c r="AU78" s="72"/>
    </row>
    <row r="79" spans="1:47" ht="10.15" customHeight="1">
      <c r="A79" s="1"/>
      <c r="B79" s="1"/>
      <c r="C79" s="1"/>
      <c r="D79" s="1"/>
      <c r="E79" s="1"/>
      <c r="F79" s="1"/>
      <c r="G79" s="1"/>
      <c r="H79" s="1"/>
      <c r="I79" s="1"/>
      <c r="J79" s="1"/>
      <c r="K79" s="1"/>
      <c r="L79" s="1"/>
      <c r="M79" s="1"/>
      <c r="N79" s="1"/>
      <c r="O79" s="1"/>
      <c r="P79" s="1"/>
      <c r="Q79" s="1"/>
      <c r="R79" s="1"/>
      <c r="S79" s="1"/>
      <c r="T79" s="1"/>
      <c r="U79" s="1"/>
      <c r="V79" s="1"/>
      <c r="W79" s="1"/>
      <c r="X79" s="1"/>
      <c r="Y79" s="1"/>
      <c r="Z79" s="93" t="s">
        <v>69</v>
      </c>
      <c r="AA79" s="94"/>
      <c r="AB79" s="94"/>
      <c r="AC79" s="94"/>
      <c r="AD79" s="94"/>
      <c r="AE79" s="94"/>
      <c r="AF79" s="94"/>
      <c r="AG79" s="94"/>
      <c r="AH79" s="94"/>
      <c r="AI79" s="94"/>
      <c r="AJ79" s="94"/>
      <c r="AK79" s="95"/>
      <c r="AL79" s="1"/>
      <c r="AM79" s="1"/>
      <c r="AN79" s="72"/>
      <c r="AO79" s="72"/>
      <c r="AP79" s="72"/>
      <c r="AQ79" s="72"/>
      <c r="AR79" s="72"/>
      <c r="AS79" s="72"/>
      <c r="AT79" s="72"/>
      <c r="AU79" s="72"/>
    </row>
    <row r="80" spans="1:47" ht="10.9" customHeight="1">
      <c r="A80" s="1"/>
      <c r="B80" s="1"/>
      <c r="C80" s="1"/>
      <c r="D80" s="1"/>
      <c r="E80" s="1"/>
      <c r="F80" s="1"/>
      <c r="G80" s="1"/>
      <c r="H80" s="1"/>
      <c r="I80" s="1"/>
      <c r="J80" s="1"/>
      <c r="K80" s="1"/>
      <c r="L80" s="1"/>
      <c r="M80" s="1"/>
      <c r="N80" s="1"/>
      <c r="O80" s="1"/>
      <c r="P80" s="1"/>
      <c r="Q80" s="1"/>
      <c r="R80" s="1"/>
      <c r="S80" s="1"/>
      <c r="T80" s="1"/>
      <c r="U80" s="1"/>
      <c r="V80" s="1"/>
      <c r="W80" s="1"/>
      <c r="X80" s="1"/>
      <c r="Y80" s="1"/>
      <c r="Z80" s="96"/>
      <c r="AA80" s="97"/>
      <c r="AB80" s="97"/>
      <c r="AC80" s="97"/>
      <c r="AD80" s="97"/>
      <c r="AE80" s="97"/>
      <c r="AF80" s="97"/>
      <c r="AG80" s="97"/>
      <c r="AH80" s="97"/>
      <c r="AI80" s="97"/>
      <c r="AJ80" s="97"/>
      <c r="AK80" s="98"/>
      <c r="AL80" s="1"/>
      <c r="AM80" s="85" t="s">
        <v>70</v>
      </c>
      <c r="AN80" s="72"/>
      <c r="AO80" s="72"/>
      <c r="AP80" s="72"/>
      <c r="AQ80" s="72"/>
      <c r="AR80" s="72"/>
      <c r="AS80" s="72"/>
      <c r="AT80" s="72"/>
      <c r="AU80" s="72"/>
    </row>
    <row r="81" spans="1:47" ht="9"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72"/>
      <c r="AN81" s="72"/>
      <c r="AO81" s="72"/>
      <c r="AP81" s="72"/>
      <c r="AQ81" s="72"/>
      <c r="AR81" s="72"/>
      <c r="AS81" s="72"/>
      <c r="AT81" s="72"/>
      <c r="AU81" s="72"/>
    </row>
    <row r="82" spans="1:47" ht="22.9" customHeight="1" thickBot="1">
      <c r="A82" s="1"/>
      <c r="B82" s="1"/>
      <c r="C82" s="1"/>
      <c r="D82" s="1"/>
      <c r="E82" s="1"/>
      <c r="F82" s="1"/>
      <c r="G82" s="1"/>
      <c r="H82" s="1"/>
      <c r="I82" s="1"/>
      <c r="J82" s="1"/>
      <c r="K82" s="1"/>
      <c r="L82" s="1"/>
      <c r="M82" s="1"/>
      <c r="N82" s="1"/>
      <c r="O82" s="1"/>
      <c r="P82" s="1"/>
      <c r="Q82" s="1"/>
      <c r="R82" s="1"/>
      <c r="S82" s="1"/>
      <c r="T82" s="1"/>
      <c r="U82" s="1"/>
      <c r="V82" s="1"/>
      <c r="W82" s="1"/>
      <c r="X82" s="1"/>
      <c r="Y82" s="1"/>
      <c r="Z82" s="64"/>
      <c r="AA82" s="64"/>
      <c r="AB82" s="64"/>
      <c r="AC82" s="64"/>
      <c r="AD82" s="64"/>
      <c r="AE82" s="64"/>
      <c r="AF82" s="64"/>
      <c r="AG82" s="64"/>
      <c r="AH82" s="64"/>
      <c r="AI82" s="64"/>
      <c r="AJ82" s="64"/>
      <c r="AK82" s="64"/>
      <c r="AL82" s="1"/>
      <c r="AM82" s="1"/>
      <c r="AN82" s="65" t="s">
        <v>82</v>
      </c>
      <c r="AO82" s="65"/>
      <c r="AP82" s="65"/>
      <c r="AQ82" s="65"/>
      <c r="AR82" s="65"/>
      <c r="AS82" s="65"/>
      <c r="AT82" s="65"/>
      <c r="AU82" s="1"/>
    </row>
    <row r="83" spans="1:47" ht="10.15" customHeight="1">
      <c r="A83" s="1"/>
      <c r="B83" s="1"/>
      <c r="C83" s="1"/>
      <c r="D83" s="1"/>
      <c r="E83" s="1"/>
      <c r="F83" s="1"/>
      <c r="G83" s="1"/>
      <c r="H83" s="1"/>
      <c r="I83" s="1"/>
      <c r="J83" s="1"/>
      <c r="K83" s="1"/>
      <c r="L83" s="1"/>
      <c r="M83" s="1"/>
      <c r="N83" s="1"/>
      <c r="O83" s="1"/>
      <c r="P83" s="1"/>
      <c r="Q83" s="1"/>
      <c r="R83" s="1"/>
      <c r="S83" s="1"/>
      <c r="T83" s="1"/>
      <c r="U83" s="1"/>
      <c r="V83" s="1"/>
      <c r="W83" s="1"/>
      <c r="X83" s="1"/>
      <c r="Y83" s="1"/>
      <c r="Z83" s="80" t="s">
        <v>71</v>
      </c>
      <c r="AA83" s="80"/>
      <c r="AB83" s="80"/>
      <c r="AC83" s="80"/>
      <c r="AD83" s="80"/>
      <c r="AE83" s="80"/>
      <c r="AF83" s="80"/>
      <c r="AG83" s="80"/>
      <c r="AH83" s="80"/>
      <c r="AI83" s="80"/>
      <c r="AJ83" s="80"/>
      <c r="AK83" s="80"/>
      <c r="AL83" s="1"/>
      <c r="AM83" s="1"/>
      <c r="AN83" s="81" t="s">
        <v>72</v>
      </c>
      <c r="AO83" s="72"/>
      <c r="AP83" s="72"/>
      <c r="AQ83" s="72"/>
      <c r="AR83" s="72"/>
      <c r="AS83" s="72"/>
      <c r="AT83" s="72"/>
      <c r="AU83" s="72"/>
    </row>
  </sheetData>
  <mergeCells count="681">
    <mergeCell ref="A1:AU1"/>
    <mergeCell ref="A2:AU2"/>
    <mergeCell ref="A3:D3"/>
    <mergeCell ref="F3:I3"/>
    <mergeCell ref="J3:L3"/>
    <mergeCell ref="M3:R3"/>
    <mergeCell ref="S3:Z3"/>
    <mergeCell ref="AA3:AG3"/>
    <mergeCell ref="A4:D4"/>
    <mergeCell ref="F4:R4"/>
    <mergeCell ref="S4:Z4"/>
    <mergeCell ref="AA4:AG4"/>
    <mergeCell ref="AI4:AL4"/>
    <mergeCell ref="AM4:AU4"/>
    <mergeCell ref="AW4:AY4"/>
    <mergeCell ref="A5:B7"/>
    <mergeCell ref="C5:E7"/>
    <mergeCell ref="F5:AL5"/>
    <mergeCell ref="AM5:AP6"/>
    <mergeCell ref="AQ5:AU7"/>
    <mergeCell ref="AW5:AY6"/>
    <mergeCell ref="F6:G6"/>
    <mergeCell ref="L6:M6"/>
    <mergeCell ref="R6:S6"/>
    <mergeCell ref="V6:W6"/>
    <mergeCell ref="X6:Y6"/>
    <mergeCell ref="Z6:AA6"/>
    <mergeCell ref="AG6:AH6"/>
    <mergeCell ref="AK6:AL6"/>
    <mergeCell ref="F7:G7"/>
    <mergeCell ref="L7:M7"/>
    <mergeCell ref="R7:S7"/>
    <mergeCell ref="V7:W7"/>
    <mergeCell ref="X7:Y7"/>
    <mergeCell ref="Z7:AA7"/>
    <mergeCell ref="AG7:AH7"/>
    <mergeCell ref="AK7:AL7"/>
    <mergeCell ref="AM7:AN7"/>
    <mergeCell ref="AO7:AP7"/>
    <mergeCell ref="A8:B8"/>
    <mergeCell ref="C8:E8"/>
    <mergeCell ref="F8:G8"/>
    <mergeCell ref="L8:M8"/>
    <mergeCell ref="R8:S8"/>
    <mergeCell ref="V8:W8"/>
    <mergeCell ref="X8:Y8"/>
    <mergeCell ref="Z8:AA8"/>
    <mergeCell ref="AG8:AH8"/>
    <mergeCell ref="AK8:AL8"/>
    <mergeCell ref="AM8:AN8"/>
    <mergeCell ref="AO8:AP8"/>
    <mergeCell ref="AQ8:AU8"/>
    <mergeCell ref="A9:B9"/>
    <mergeCell ref="C9:E9"/>
    <mergeCell ref="F9:G9"/>
    <mergeCell ref="L9:M9"/>
    <mergeCell ref="R9:S9"/>
    <mergeCell ref="V9:W9"/>
    <mergeCell ref="X9:Y9"/>
    <mergeCell ref="Z9:AA9"/>
    <mergeCell ref="AG9:AH9"/>
    <mergeCell ref="AK9:AL9"/>
    <mergeCell ref="AM9:AN9"/>
    <mergeCell ref="AO9:AP9"/>
    <mergeCell ref="AQ9:AU9"/>
    <mergeCell ref="A10:B10"/>
    <mergeCell ref="C10:E10"/>
    <mergeCell ref="F10:G10"/>
    <mergeCell ref="L10:M10"/>
    <mergeCell ref="R10:S10"/>
    <mergeCell ref="V10:W10"/>
    <mergeCell ref="X10:Y10"/>
    <mergeCell ref="Z10:AA10"/>
    <mergeCell ref="AG10:AH10"/>
    <mergeCell ref="AK10:AL10"/>
    <mergeCell ref="AM10:AN10"/>
    <mergeCell ref="AO10:AP10"/>
    <mergeCell ref="AQ10:AU10"/>
    <mergeCell ref="A11:B11"/>
    <mergeCell ref="C11:E11"/>
    <mergeCell ref="F11:G11"/>
    <mergeCell ref="L11:M11"/>
    <mergeCell ref="R11:S11"/>
    <mergeCell ref="V11:W11"/>
    <mergeCell ref="X11:Y11"/>
    <mergeCell ref="Z11:AA11"/>
    <mergeCell ref="AG11:AH11"/>
    <mergeCell ref="AK11:AL11"/>
    <mergeCell ref="AM11:AN11"/>
    <mergeCell ref="AO11:AP11"/>
    <mergeCell ref="AQ11:AU11"/>
    <mergeCell ref="A12:B12"/>
    <mergeCell ref="C12:E12"/>
    <mergeCell ref="F12:G12"/>
    <mergeCell ref="L12:M12"/>
    <mergeCell ref="R12:S12"/>
    <mergeCell ref="V12:W12"/>
    <mergeCell ref="X12:Y12"/>
    <mergeCell ref="Z12:AA12"/>
    <mergeCell ref="AG12:AH12"/>
    <mergeCell ref="AK12:AL12"/>
    <mergeCell ref="AM12:AN12"/>
    <mergeCell ref="AO12:AP12"/>
    <mergeCell ref="AQ12:AU12"/>
    <mergeCell ref="A13:B13"/>
    <mergeCell ref="C13:E13"/>
    <mergeCell ref="F13:G13"/>
    <mergeCell ref="L13:M13"/>
    <mergeCell ref="R13:S13"/>
    <mergeCell ref="V13:W13"/>
    <mergeCell ref="X13:Y13"/>
    <mergeCell ref="Z13:AA13"/>
    <mergeCell ref="AG13:AH13"/>
    <mergeCell ref="AK13:AL13"/>
    <mergeCell ref="AM13:AN13"/>
    <mergeCell ref="AO13:AP13"/>
    <mergeCell ref="AQ13:AU13"/>
    <mergeCell ref="A14:B14"/>
    <mergeCell ref="C14:E14"/>
    <mergeCell ref="F14:G14"/>
    <mergeCell ref="L14:M14"/>
    <mergeCell ref="R14:S14"/>
    <mergeCell ref="V14:W14"/>
    <mergeCell ref="X14:Y14"/>
    <mergeCell ref="Z14:AA14"/>
    <mergeCell ref="AG14:AH14"/>
    <mergeCell ref="AK14:AL14"/>
    <mergeCell ref="AM14:AN14"/>
    <mergeCell ref="AO14:AP14"/>
    <mergeCell ref="AQ14:AU14"/>
    <mergeCell ref="A15:B15"/>
    <mergeCell ref="C15:E15"/>
    <mergeCell ref="F15:G15"/>
    <mergeCell ref="L15:M15"/>
    <mergeCell ref="R15:S15"/>
    <mergeCell ref="V15:W15"/>
    <mergeCell ref="X15:Y15"/>
    <mergeCell ref="Z15:AA15"/>
    <mergeCell ref="AG15:AH15"/>
    <mergeCell ref="AK15:AL15"/>
    <mergeCell ref="AM15:AN15"/>
    <mergeCell ref="AO15:AP15"/>
    <mergeCell ref="AQ15:AU15"/>
    <mergeCell ref="A16:B16"/>
    <mergeCell ref="C16:E16"/>
    <mergeCell ref="F16:G16"/>
    <mergeCell ref="L16:M16"/>
    <mergeCell ref="R16:S16"/>
    <mergeCell ref="V16:W16"/>
    <mergeCell ref="X16:Y16"/>
    <mergeCell ref="Z16:AA16"/>
    <mergeCell ref="AG16:AH16"/>
    <mergeCell ref="AK16:AL16"/>
    <mergeCell ref="AM16:AN16"/>
    <mergeCell ref="AO16:AP16"/>
    <mergeCell ref="AQ16:AU16"/>
    <mergeCell ref="A17:B17"/>
    <mergeCell ref="C17:E17"/>
    <mergeCell ref="F17:G17"/>
    <mergeCell ref="L17:M17"/>
    <mergeCell ref="R17:S17"/>
    <mergeCell ref="V17:W17"/>
    <mergeCell ref="X17:Y17"/>
    <mergeCell ref="Z17:AA17"/>
    <mergeCell ref="AG17:AH17"/>
    <mergeCell ref="AK17:AL17"/>
    <mergeCell ref="AM17:AN17"/>
    <mergeCell ref="AO17:AP17"/>
    <mergeCell ref="AQ17:AU17"/>
    <mergeCell ref="A18:B18"/>
    <mergeCell ref="C18:E18"/>
    <mergeCell ref="F18:G18"/>
    <mergeCell ref="L18:M18"/>
    <mergeCell ref="R18:S18"/>
    <mergeCell ref="V18:W18"/>
    <mergeCell ref="X18:Y18"/>
    <mergeCell ref="Z18:AA18"/>
    <mergeCell ref="AG18:AH18"/>
    <mergeCell ref="AK18:AL18"/>
    <mergeCell ref="AM18:AN18"/>
    <mergeCell ref="AO18:AP18"/>
    <mergeCell ref="AQ18:AU18"/>
    <mergeCell ref="A19:B19"/>
    <mergeCell ref="C19:E19"/>
    <mergeCell ref="F19:G19"/>
    <mergeCell ref="L19:M19"/>
    <mergeCell ref="R19:S19"/>
    <mergeCell ref="V19:W19"/>
    <mergeCell ref="X19:Y19"/>
    <mergeCell ref="Z19:AA19"/>
    <mergeCell ref="AG19:AH19"/>
    <mergeCell ref="AK19:AL19"/>
    <mergeCell ref="AM19:AN19"/>
    <mergeCell ref="AO19:AP19"/>
    <mergeCell ref="AQ19:AU19"/>
    <mergeCell ref="A20:B20"/>
    <mergeCell ref="C20:E20"/>
    <mergeCell ref="F20:G20"/>
    <mergeCell ref="L20:M20"/>
    <mergeCell ref="R20:S20"/>
    <mergeCell ref="V20:W20"/>
    <mergeCell ref="X20:Y20"/>
    <mergeCell ref="Z20:AA20"/>
    <mergeCell ref="AG20:AH20"/>
    <mergeCell ref="AK20:AL20"/>
    <mergeCell ref="AM20:AN20"/>
    <mergeCell ref="AO20:AP20"/>
    <mergeCell ref="AQ20:AU20"/>
    <mergeCell ref="A21:B21"/>
    <mergeCell ref="C21:E21"/>
    <mergeCell ref="F21:G21"/>
    <mergeCell ref="L21:M21"/>
    <mergeCell ref="R21:S21"/>
    <mergeCell ref="V21:W21"/>
    <mergeCell ref="X21:Y21"/>
    <mergeCell ref="Z21:AA21"/>
    <mergeCell ref="AG21:AH21"/>
    <mergeCell ref="AK21:AL21"/>
    <mergeCell ref="AM21:AN21"/>
    <mergeCell ref="AO21:AP21"/>
    <mergeCell ref="AQ21:AU21"/>
    <mergeCell ref="A22:B22"/>
    <mergeCell ref="C22:E22"/>
    <mergeCell ref="F22:G22"/>
    <mergeCell ref="L22:M22"/>
    <mergeCell ref="R22:S22"/>
    <mergeCell ref="V22:W22"/>
    <mergeCell ref="X22:Y22"/>
    <mergeCell ref="Z22:AA22"/>
    <mergeCell ref="AG22:AH22"/>
    <mergeCell ref="AK22:AL22"/>
    <mergeCell ref="AM22:AN22"/>
    <mergeCell ref="AO22:AP22"/>
    <mergeCell ref="AQ22:AU22"/>
    <mergeCell ref="A23:B23"/>
    <mergeCell ref="C23:E23"/>
    <mergeCell ref="F23:G23"/>
    <mergeCell ref="L23:M23"/>
    <mergeCell ref="R23:S23"/>
    <mergeCell ref="V23:W23"/>
    <mergeCell ref="X23:Y23"/>
    <mergeCell ref="Z23:AA23"/>
    <mergeCell ref="AG23:AH23"/>
    <mergeCell ref="AK23:AL23"/>
    <mergeCell ref="AM23:AN23"/>
    <mergeCell ref="AO23:AP23"/>
    <mergeCell ref="AQ23:AU23"/>
    <mergeCell ref="A24:B24"/>
    <mergeCell ref="C24:E24"/>
    <mergeCell ref="F24:G24"/>
    <mergeCell ref="L24:M24"/>
    <mergeCell ref="R24:S24"/>
    <mergeCell ref="V24:W24"/>
    <mergeCell ref="X24:Y24"/>
    <mergeCell ref="Z24:AA24"/>
    <mergeCell ref="AG24:AH24"/>
    <mergeCell ref="AK24:AL24"/>
    <mergeCell ref="AM24:AN24"/>
    <mergeCell ref="AO24:AP24"/>
    <mergeCell ref="AQ24:AU24"/>
    <mergeCell ref="A25:B25"/>
    <mergeCell ref="C25:E25"/>
    <mergeCell ref="F25:G25"/>
    <mergeCell ref="L25:M25"/>
    <mergeCell ref="R25:S25"/>
    <mergeCell ref="V25:W25"/>
    <mergeCell ref="X25:Y25"/>
    <mergeCell ref="Z25:AA25"/>
    <mergeCell ref="AG25:AH25"/>
    <mergeCell ref="AK25:AL25"/>
    <mergeCell ref="AM25:AN25"/>
    <mergeCell ref="AO25:AP25"/>
    <mergeCell ref="AQ25:AU25"/>
    <mergeCell ref="A26:B26"/>
    <mergeCell ref="C26:D26"/>
    <mergeCell ref="F26:G26"/>
    <mergeCell ref="L26:M26"/>
    <mergeCell ref="R26:S26"/>
    <mergeCell ref="V26:W26"/>
    <mergeCell ref="X26:Y26"/>
    <mergeCell ref="Z26:AA26"/>
    <mergeCell ref="AG26:AH26"/>
    <mergeCell ref="AK26:AL26"/>
    <mergeCell ref="AM26:AN26"/>
    <mergeCell ref="AO26:AP26"/>
    <mergeCell ref="AQ26:AT26"/>
    <mergeCell ref="A27:B27"/>
    <mergeCell ref="C27:E27"/>
    <mergeCell ref="F27:G27"/>
    <mergeCell ref="L27:M27"/>
    <mergeCell ref="R27:S27"/>
    <mergeCell ref="V27:W27"/>
    <mergeCell ref="X27:Y27"/>
    <mergeCell ref="Z27:AA27"/>
    <mergeCell ref="AG27:AH27"/>
    <mergeCell ref="AK27:AL27"/>
    <mergeCell ref="AM27:AN27"/>
    <mergeCell ref="AO27:AP27"/>
    <mergeCell ref="AQ27:AU27"/>
    <mergeCell ref="A28:B28"/>
    <mergeCell ref="C28:E28"/>
    <mergeCell ref="F28:G28"/>
    <mergeCell ref="L28:M28"/>
    <mergeCell ref="R28:S28"/>
    <mergeCell ref="V28:W28"/>
    <mergeCell ref="X28:Y28"/>
    <mergeCell ref="Z28:AA28"/>
    <mergeCell ref="AG28:AH28"/>
    <mergeCell ref="AK28:AL28"/>
    <mergeCell ref="AM28:AN28"/>
    <mergeCell ref="AO28:AP28"/>
    <mergeCell ref="AQ28:AU28"/>
    <mergeCell ref="AW28:AY28"/>
    <mergeCell ref="A29:B29"/>
    <mergeCell ref="C29:E29"/>
    <mergeCell ref="F29:G29"/>
    <mergeCell ref="L29:M29"/>
    <mergeCell ref="R29:S29"/>
    <mergeCell ref="V29:W29"/>
    <mergeCell ref="X29:Y29"/>
    <mergeCell ref="Z29:AA29"/>
    <mergeCell ref="AG29:AH29"/>
    <mergeCell ref="AK29:AL29"/>
    <mergeCell ref="AM29:AN29"/>
    <mergeCell ref="AO29:AP29"/>
    <mergeCell ref="AQ29:AU29"/>
    <mergeCell ref="A30:B30"/>
    <mergeCell ref="C30:E30"/>
    <mergeCell ref="F30:G30"/>
    <mergeCell ref="L30:M30"/>
    <mergeCell ref="R30:S30"/>
    <mergeCell ref="V30:W30"/>
    <mergeCell ref="X30:Y30"/>
    <mergeCell ref="Z30:AA30"/>
    <mergeCell ref="AG30:AH30"/>
    <mergeCell ref="AK30:AL30"/>
    <mergeCell ref="AM30:AN30"/>
    <mergeCell ref="AO30:AP30"/>
    <mergeCell ref="AQ30:AU30"/>
    <mergeCell ref="A31:B31"/>
    <mergeCell ref="C31:E31"/>
    <mergeCell ref="F31:G31"/>
    <mergeCell ref="L31:M31"/>
    <mergeCell ref="R31:S31"/>
    <mergeCell ref="V31:W31"/>
    <mergeCell ref="X31:Y31"/>
    <mergeCell ref="Z31:AA31"/>
    <mergeCell ref="AG31:AH31"/>
    <mergeCell ref="AK31:AL31"/>
    <mergeCell ref="AM31:AN31"/>
    <mergeCell ref="AO31:AP31"/>
    <mergeCell ref="AQ31:AU31"/>
    <mergeCell ref="A32:B32"/>
    <mergeCell ref="C32:E32"/>
    <mergeCell ref="F32:G32"/>
    <mergeCell ref="L32:M32"/>
    <mergeCell ref="R32:S32"/>
    <mergeCell ref="V32:W32"/>
    <mergeCell ref="X32:Y32"/>
    <mergeCell ref="Z32:AA32"/>
    <mergeCell ref="AG32:AH32"/>
    <mergeCell ref="AK32:AL32"/>
    <mergeCell ref="AM32:AN32"/>
    <mergeCell ref="AO32:AP32"/>
    <mergeCell ref="AQ32:AU32"/>
    <mergeCell ref="A33:B33"/>
    <mergeCell ref="C33:E33"/>
    <mergeCell ref="F33:G33"/>
    <mergeCell ref="L33:M33"/>
    <mergeCell ref="R33:S33"/>
    <mergeCell ref="V33:W33"/>
    <mergeCell ref="X33:Y33"/>
    <mergeCell ref="Z33:AA33"/>
    <mergeCell ref="AG33:AH33"/>
    <mergeCell ref="AK33:AL33"/>
    <mergeCell ref="AM33:AN33"/>
    <mergeCell ref="AO33:AP33"/>
    <mergeCell ref="AQ33:AU33"/>
    <mergeCell ref="A34:B34"/>
    <mergeCell ref="C34:E34"/>
    <mergeCell ref="F34:G34"/>
    <mergeCell ref="L34:M34"/>
    <mergeCell ref="R34:S34"/>
    <mergeCell ref="V34:W34"/>
    <mergeCell ref="X34:Y34"/>
    <mergeCell ref="Z34:AA34"/>
    <mergeCell ref="AG34:AH34"/>
    <mergeCell ref="AK34:AL34"/>
    <mergeCell ref="AM34:AN34"/>
    <mergeCell ref="AO34:AP34"/>
    <mergeCell ref="AQ34:AU34"/>
    <mergeCell ref="A35:B35"/>
    <mergeCell ref="C35:E35"/>
    <mergeCell ref="F35:G35"/>
    <mergeCell ref="L35:M35"/>
    <mergeCell ref="R35:S35"/>
    <mergeCell ref="V35:W35"/>
    <mergeCell ref="X35:Y35"/>
    <mergeCell ref="Z35:AA35"/>
    <mergeCell ref="AG35:AH35"/>
    <mergeCell ref="AK35:AL35"/>
    <mergeCell ref="AM35:AN35"/>
    <mergeCell ref="AO35:AP35"/>
    <mergeCell ref="AQ35:AU35"/>
    <mergeCell ref="A36:B36"/>
    <mergeCell ref="C36:E36"/>
    <mergeCell ref="F36:G36"/>
    <mergeCell ref="L36:M36"/>
    <mergeCell ref="R36:S36"/>
    <mergeCell ref="V36:W36"/>
    <mergeCell ref="X36:Y36"/>
    <mergeCell ref="Z36:AA36"/>
    <mergeCell ref="AG36:AH36"/>
    <mergeCell ref="AK36:AL36"/>
    <mergeCell ref="AM36:AN36"/>
    <mergeCell ref="AO36:AP36"/>
    <mergeCell ref="AQ36:AU36"/>
    <mergeCell ref="A37:B37"/>
    <mergeCell ref="C37:E37"/>
    <mergeCell ref="F37:G37"/>
    <mergeCell ref="L37:M37"/>
    <mergeCell ref="R37:S37"/>
    <mergeCell ref="V37:W37"/>
    <mergeCell ref="X37:Y37"/>
    <mergeCell ref="Z37:AA37"/>
    <mergeCell ref="AG37:AH37"/>
    <mergeCell ref="AK37:AL37"/>
    <mergeCell ref="AM37:AN37"/>
    <mergeCell ref="AO37:AP37"/>
    <mergeCell ref="AQ37:AU37"/>
    <mergeCell ref="A38:B38"/>
    <mergeCell ref="C38:E38"/>
    <mergeCell ref="F38:G38"/>
    <mergeCell ref="L38:M38"/>
    <mergeCell ref="R38:S38"/>
    <mergeCell ref="V38:W38"/>
    <mergeCell ref="X38:Y38"/>
    <mergeCell ref="Z38:AA38"/>
    <mergeCell ref="AG38:AH38"/>
    <mergeCell ref="AK38:AL38"/>
    <mergeCell ref="AM38:AN38"/>
    <mergeCell ref="AO38:AP38"/>
    <mergeCell ref="AQ38:AU38"/>
    <mergeCell ref="A39:B39"/>
    <mergeCell ref="C39:E39"/>
    <mergeCell ref="F39:G39"/>
    <mergeCell ref="L39:M39"/>
    <mergeCell ref="R39:S39"/>
    <mergeCell ref="V39:W39"/>
    <mergeCell ref="X39:Y39"/>
    <mergeCell ref="Z39:AA39"/>
    <mergeCell ref="AG39:AH39"/>
    <mergeCell ref="AK39:AL39"/>
    <mergeCell ref="AM39:AN39"/>
    <mergeCell ref="AO39:AP39"/>
    <mergeCell ref="AQ39:AU39"/>
    <mergeCell ref="A40:B40"/>
    <mergeCell ref="C40:E40"/>
    <mergeCell ref="F40:G40"/>
    <mergeCell ref="L40:M40"/>
    <mergeCell ref="R40:S40"/>
    <mergeCell ref="V40:W40"/>
    <mergeCell ref="X40:Y40"/>
    <mergeCell ref="Z40:AA40"/>
    <mergeCell ref="AG40:AH40"/>
    <mergeCell ref="AK40:AL40"/>
    <mergeCell ref="AM40:AN40"/>
    <mergeCell ref="AO40:AP40"/>
    <mergeCell ref="AQ40:AU40"/>
    <mergeCell ref="A41:B41"/>
    <mergeCell ref="C41:E41"/>
    <mergeCell ref="F41:G41"/>
    <mergeCell ref="L41:M41"/>
    <mergeCell ref="R41:S41"/>
    <mergeCell ref="V41:W41"/>
    <mergeCell ref="X41:Y41"/>
    <mergeCell ref="Z41:AA41"/>
    <mergeCell ref="AG41:AH41"/>
    <mergeCell ref="AK41:AL41"/>
    <mergeCell ref="AM41:AN41"/>
    <mergeCell ref="AO41:AP41"/>
    <mergeCell ref="AQ41:AU41"/>
    <mergeCell ref="A42:B42"/>
    <mergeCell ref="C42:E42"/>
    <mergeCell ref="F42:G42"/>
    <mergeCell ref="L42:M42"/>
    <mergeCell ref="R42:S42"/>
    <mergeCell ref="V42:W42"/>
    <mergeCell ref="X42:Y42"/>
    <mergeCell ref="Z42:AA42"/>
    <mergeCell ref="AG42:AH42"/>
    <mergeCell ref="AK42:AL42"/>
    <mergeCell ref="AM42:AN42"/>
    <mergeCell ref="AO42:AP42"/>
    <mergeCell ref="AQ42:AU42"/>
    <mergeCell ref="A43:B43"/>
    <mergeCell ref="C43:E43"/>
    <mergeCell ref="F43:G43"/>
    <mergeCell ref="L43:M43"/>
    <mergeCell ref="R43:S43"/>
    <mergeCell ref="V43:W43"/>
    <mergeCell ref="X43:Y43"/>
    <mergeCell ref="Z43:AA43"/>
    <mergeCell ref="AG43:AH43"/>
    <mergeCell ref="AK43:AL43"/>
    <mergeCell ref="AM43:AN43"/>
    <mergeCell ref="AO43:AP43"/>
    <mergeCell ref="AQ43:AU43"/>
    <mergeCell ref="A44:B44"/>
    <mergeCell ref="C44:E44"/>
    <mergeCell ref="F44:G44"/>
    <mergeCell ref="L44:M44"/>
    <mergeCell ref="R44:S44"/>
    <mergeCell ref="V44:W44"/>
    <mergeCell ref="X44:Y44"/>
    <mergeCell ref="Z44:AA44"/>
    <mergeCell ref="AG44:AH44"/>
    <mergeCell ref="AK44:AL44"/>
    <mergeCell ref="AM44:AN44"/>
    <mergeCell ref="AO44:AP44"/>
    <mergeCell ref="AQ44:AU44"/>
    <mergeCell ref="A45:B45"/>
    <mergeCell ref="C45:E45"/>
    <mergeCell ref="F45:G45"/>
    <mergeCell ref="L45:M45"/>
    <mergeCell ref="R45:S45"/>
    <mergeCell ref="V45:W45"/>
    <mergeCell ref="X45:Y45"/>
    <mergeCell ref="Z45:AA45"/>
    <mergeCell ref="AG45:AH45"/>
    <mergeCell ref="AK45:AL45"/>
    <mergeCell ref="AM45:AN45"/>
    <mergeCell ref="AO45:AP45"/>
    <mergeCell ref="AQ45:AU45"/>
    <mergeCell ref="A46:B46"/>
    <mergeCell ref="C46:E46"/>
    <mergeCell ref="F46:G46"/>
    <mergeCell ref="L46:M46"/>
    <mergeCell ref="R46:S46"/>
    <mergeCell ref="V46:W46"/>
    <mergeCell ref="X46:Y46"/>
    <mergeCell ref="Z46:AA46"/>
    <mergeCell ref="AG46:AH46"/>
    <mergeCell ref="AK46:AL46"/>
    <mergeCell ref="AM46:AN46"/>
    <mergeCell ref="AO46:AP46"/>
    <mergeCell ref="AQ46:AU46"/>
    <mergeCell ref="A47:B47"/>
    <mergeCell ref="C47:E47"/>
    <mergeCell ref="F47:G47"/>
    <mergeCell ref="L47:M47"/>
    <mergeCell ref="R47:S47"/>
    <mergeCell ref="V47:W47"/>
    <mergeCell ref="X47:Y47"/>
    <mergeCell ref="Z47:AA47"/>
    <mergeCell ref="AG47:AH47"/>
    <mergeCell ref="AK47:AL47"/>
    <mergeCell ref="AM47:AN47"/>
    <mergeCell ref="AO47:AP47"/>
    <mergeCell ref="AQ47:AU47"/>
    <mergeCell ref="A48:B48"/>
    <mergeCell ref="C48:E48"/>
    <mergeCell ref="F48:G48"/>
    <mergeCell ref="L48:M48"/>
    <mergeCell ref="R48:S48"/>
    <mergeCell ref="V48:W48"/>
    <mergeCell ref="X48:Y48"/>
    <mergeCell ref="Z48:AA48"/>
    <mergeCell ref="AG48:AH48"/>
    <mergeCell ref="AK48:AL48"/>
    <mergeCell ref="AM48:AN48"/>
    <mergeCell ref="AO48:AP48"/>
    <mergeCell ref="AQ48:AU48"/>
    <mergeCell ref="AW48:AY48"/>
    <mergeCell ref="A49:B49"/>
    <mergeCell ref="C49:E49"/>
    <mergeCell ref="F49:G49"/>
    <mergeCell ref="L49:M49"/>
    <mergeCell ref="R49:S49"/>
    <mergeCell ref="V49:W49"/>
    <mergeCell ref="X49:Y49"/>
    <mergeCell ref="Z49:AA49"/>
    <mergeCell ref="AG49:AH49"/>
    <mergeCell ref="AK49:AL49"/>
    <mergeCell ref="AM49:AN49"/>
    <mergeCell ref="AO49:AP49"/>
    <mergeCell ref="AQ49:AU49"/>
    <mergeCell ref="A50:B50"/>
    <mergeCell ref="C50:E50"/>
    <mergeCell ref="F50:G50"/>
    <mergeCell ref="L50:M50"/>
    <mergeCell ref="R50:S50"/>
    <mergeCell ref="V50:W50"/>
    <mergeCell ref="X50:Y50"/>
    <mergeCell ref="Z50:AA50"/>
    <mergeCell ref="AG50:AH50"/>
    <mergeCell ref="AK50:AL50"/>
    <mergeCell ref="AM50:AN50"/>
    <mergeCell ref="AO50:AP50"/>
    <mergeCell ref="AQ50:AU50"/>
    <mergeCell ref="A51:X51"/>
    <mergeCell ref="Z51:AK51"/>
    <mergeCell ref="AM51:AO52"/>
    <mergeCell ref="AP51:AQ52"/>
    <mergeCell ref="AR51:AU51"/>
    <mergeCell ref="A52:X55"/>
    <mergeCell ref="Z52:AK53"/>
    <mergeCell ref="AT52:AU52"/>
    <mergeCell ref="AM53:AQ54"/>
    <mergeCell ref="AR53:AR54"/>
    <mergeCell ref="AS53:AS54"/>
    <mergeCell ref="AT53:AU54"/>
    <mergeCell ref="Z54:AK55"/>
    <mergeCell ref="AM55:AO56"/>
    <mergeCell ref="AP55:AQ56"/>
    <mergeCell ref="AR55:AR58"/>
    <mergeCell ref="AS55:AS58"/>
    <mergeCell ref="AT55:AU58"/>
    <mergeCell ref="B56:F58"/>
    <mergeCell ref="G56:S57"/>
    <mergeCell ref="T56:V58"/>
    <mergeCell ref="Z56:AK57"/>
    <mergeCell ref="AM57:AQ58"/>
    <mergeCell ref="G58:S58"/>
    <mergeCell ref="Z58:AK61"/>
    <mergeCell ref="B59:F60"/>
    <mergeCell ref="G59:S59"/>
    <mergeCell ref="AM59:AQ59"/>
    <mergeCell ref="G60:S60"/>
    <mergeCell ref="AM60:AQ60"/>
    <mergeCell ref="B61:F62"/>
    <mergeCell ref="G61:S61"/>
    <mergeCell ref="T61:V62"/>
    <mergeCell ref="AM61:AQ61"/>
    <mergeCell ref="AR63:AR64"/>
    <mergeCell ref="AS63:AS64"/>
    <mergeCell ref="AT63:AU64"/>
    <mergeCell ref="AR59:AR60"/>
    <mergeCell ref="AS59:AS60"/>
    <mergeCell ref="AT59:AU60"/>
    <mergeCell ref="AR61:AR62"/>
    <mergeCell ref="AS67:AS68"/>
    <mergeCell ref="AT67:AU68"/>
    <mergeCell ref="B68:X71"/>
    <mergeCell ref="AS61:AS62"/>
    <mergeCell ref="AT61:AU62"/>
    <mergeCell ref="G62:S62"/>
    <mergeCell ref="Z62:AK62"/>
    <mergeCell ref="AM62:AQ62"/>
    <mergeCell ref="Z63:AK67"/>
    <mergeCell ref="AM63:AQ64"/>
    <mergeCell ref="AR71:AR72"/>
    <mergeCell ref="AS71:AS72"/>
    <mergeCell ref="AT71:AU72"/>
    <mergeCell ref="A64:X67"/>
    <mergeCell ref="AM65:AQ65"/>
    <mergeCell ref="AT65:AU65"/>
    <mergeCell ref="AM66:AQ66"/>
    <mergeCell ref="AT66:AU66"/>
    <mergeCell ref="AM67:AQ68"/>
    <mergeCell ref="AR67:AR68"/>
    <mergeCell ref="AN78:AU79"/>
    <mergeCell ref="Z79:AK80"/>
    <mergeCell ref="AM80:AU81"/>
    <mergeCell ref="Z68:AK69"/>
    <mergeCell ref="AM69:AQ70"/>
    <mergeCell ref="AR69:AR70"/>
    <mergeCell ref="AS69:AS70"/>
    <mergeCell ref="AT69:AU70"/>
    <mergeCell ref="Z70:AK73"/>
    <mergeCell ref="AM71:AQ72"/>
    <mergeCell ref="Z82:AK82"/>
    <mergeCell ref="AN82:AT82"/>
    <mergeCell ref="Z83:AK83"/>
    <mergeCell ref="AN83:AU83"/>
    <mergeCell ref="Z74:AK74"/>
    <mergeCell ref="AM74:AU75"/>
    <mergeCell ref="Z75:AK76"/>
    <mergeCell ref="AN76:AU77"/>
    <mergeCell ref="Z77:AK77"/>
    <mergeCell ref="Z78:AK78"/>
  </mergeCells>
  <pageMargins left="0.27777777777777779" right="0.27777777777777779" top="0.27777777777777779" bottom="0.27777777777777779" header="0" footer="0"/>
  <pageSetup paperSize="9" scale="60" firstPageNumber="0" fitToWidth="0" fitToHeight="0" pageOrder="overThenDown"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JUNE 2025</vt:lpstr>
      <vt:lpstr>JULY 2025</vt:lpstr>
      <vt:lpstr>AUGUST 2025</vt:lpstr>
      <vt:lpstr>SEPT. 2025</vt:lpstr>
      <vt:lpstr>OCTOBER 2025</vt:lpstr>
      <vt:lpstr>COMPLETE DAYS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Edelyn Buhawe</dc:creator>
  <cp:lastModifiedBy>Alistair Ybañez</cp:lastModifiedBy>
  <cp:lastPrinted>2026-03-04T12:51:58Z</cp:lastPrinted>
  <dcterms:created xsi:type="dcterms:W3CDTF">2023-09-03T06:47:55Z</dcterms:created>
  <dcterms:modified xsi:type="dcterms:W3CDTF">2026-10-02T04:51:08Z</dcterms:modified>
</cp:coreProperties>
</file>